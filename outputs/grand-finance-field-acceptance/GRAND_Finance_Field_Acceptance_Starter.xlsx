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d3b9f125c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56568823d1d490c"/>
    <x:sheet xmlns:r="http://schemas.openxmlformats.org/officeDocument/2006/relationships" name="Official Form Register" sheetId="2" r:id="R6e47116ab69e4d62"/>
    <x:sheet xmlns:r="http://schemas.openxmlformats.org/officeDocument/2006/relationships" name="Field Mapping" sheetId="3" r:id="R6be711c209314461"/>
    <x:sheet xmlns:r="http://schemas.openxmlformats.org/officeDocument/2006/relationships" name="COA Document Rules" sheetId="4" r:id="R4e0b0f992e0841ae"/>
    <x:sheet xmlns:r="http://schemas.openxmlformats.org/officeDocument/2006/relationships" name="Practical Tests" sheetId="5" r:id="Rc947c20059534bc5"/>
    <x:sheet xmlns:r="http://schemas.openxmlformats.org/officeDocument/2006/relationships" name="Exercises and Owners" sheetId="6" r:id="R888dbe7fe3b74fd2"/>
    <x:sheet xmlns:r="http://schemas.openxmlformats.org/officeDocument/2006/relationships" name="Field Cycles" sheetId="7" r:id="Rcb4325ee6a5e4c59"/>
    <x:sheet xmlns:r="http://schemas.openxmlformats.org/officeDocument/2006/relationships" name="Recovery Rehearsal" sheetId="8" r:id="R482268c8983e4cd9"/>
    <x:sheet xmlns:r="http://schemas.openxmlformats.org/officeDocument/2006/relationships" name="Decisions" sheetId="9" r:id="Rb623e8eaa4814542"/>
    <x:sheet xmlns:r="http://schemas.openxmlformats.org/officeDocument/2006/relationships" name="Acceptance Summary" sheetId="10" r:id="Rc558a1728dd74274"/>
    <x:sheet xmlns:r="http://schemas.openxmlformats.org/officeDocument/2006/relationships" name="Sources and Scope" sheetId="11" r:id="R34d850e73da046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₱#,##0.00;[Red](₱#,##0.00);-"/>
    <x:numFmt numFmtId="202" formatCode="yyyy-mm-dd hh:mm"/>
    <x:numFmt numFmtId="203" formatCode="0.0"/>
    <x:numFmt numFmtId="204" formatCode="0"/>
  </x:numFmts>
  <x:fonts count="13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595959"/>
      <x:name val="Aptos"/>
    </x:font>
    <x:font>
      <x:b/>
      <x:sz val="12"/>
      <x:color rgb="FF9C0006"/>
      <x:name val="Carlito"/>
    </x:font>
    <x:font>
      <x:sz val="10"/>
      <x:color rgb="FF7F0000"/>
      <x:name val="Carlito"/>
    </x:font>
    <x:font>
      <x:b/>
      <x:sz val="11"/>
      <x:name val="Carlito"/>
    </x:font>
    <x:font>
      <x:sz val="10"/>
      <x:color rgb="FF0000FF"/>
      <x:name val="Aptos"/>
    </x:font>
    <x:font>
      <x:b/>
      <x:sz val="12"/>
      <x:color rgb="FFFFFFFF"/>
      <x:name val="Carlito"/>
    </x:font>
    <x:font>
      <x:b/>
      <x:sz val="10"/>
      <x:color rgb="FFFFFFFF"/>
      <x:name val="Aptos"/>
    </x:font>
    <x:font>
      <x:sz val="10"/>
      <x:color rgb="FF000000"/>
      <x:name val="Aptos"/>
    </x:font>
    <x:font>
      <x:b/>
      <x:sz val="11"/>
      <x:color rgb="FFFFFFFF"/>
      <x:name val="Carlito"/>
    </x:font>
    <x:font>
      <x:b/>
      <x:sz val="14"/>
      <x:color rgb="FF9C0006"/>
      <x:name val="Carlito"/>
    </x:font>
    <x:font>
      <x:sz val="10"/>
      <x:color rgb="FF00800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5F2"/>
      </x:patternFill>
    </x:fill>
    <x:fill>
      <x:patternFill patternType="solid">
        <x:fgColor rgb="FFFFF2CC"/>
      </x:patternFill>
    </x:fill>
    <x:fill>
      <x:patternFill patternType="solid">
        <x:fgColor rgb="FF2F6B66"/>
      </x:patternFill>
    </x:fill>
    <x:fill>
      <x:patternFill patternType="solid">
        <x:fgColor rgb="FF1F4E78"/>
      </x:patternFill>
    </x:fill>
  </x:fills>
  <x:borders count="21">
    <x:border/>
    <x:border>
      <x:left style="thin">
        <x:color rgb="FFC65911"/>
      </x:left>
      <x:top style="thin">
        <x:color rgb="FFC65911"/>
      </x:top>
    </x:border>
    <x:border>
      <x:top style="thin">
        <x:color rgb="FFC65911"/>
      </x:top>
    </x:border>
    <x:border>
      <x:right style="thin">
        <x:color rgb="FFC65911"/>
      </x:right>
      <x:top style="thin">
        <x:color rgb="FFC65911"/>
      </x:top>
    </x:border>
    <x:border>
      <x:left style="thin">
        <x:color rgb="FFC65911"/>
      </x:left>
      <x:bottom style="thin">
        <x:color rgb="FFC65911"/>
      </x:bottom>
    </x:border>
    <x:border>
      <x:bottom style="thin">
        <x:color rgb="FFC65911"/>
      </x:bottom>
    </x:border>
    <x:border>
      <x:right style="thin">
        <x:color rgb="FFC65911"/>
      </x:right>
      <x:bottom style="thin">
        <x:color rgb="FFC65911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B4C6E7"/>
      </x:bottom>
    </x:border>
    <x:border>
      <x:top style="thin">
        <x:color rgb="FFD9E1F2"/>
      </x:top>
    </x:border>
    <x:border>
      <x:left style="medium">
        <x:color rgb="FFC65911"/>
      </x:left>
      <x:top style="medium">
        <x:color rgb="FFC65911"/>
      </x:top>
    </x:border>
    <x:border>
      <x:top style="medium">
        <x:color rgb="FFC65911"/>
      </x:top>
    </x:border>
    <x:border>
      <x:right style="medium">
        <x:color rgb="FFC65911"/>
      </x:right>
      <x:top style="medium">
        <x:color rgb="FFC65911"/>
      </x:top>
    </x:border>
    <x:border>
      <x:left style="medium">
        <x:color rgb="FFC65911"/>
      </x:left>
      <x:bottom style="medium">
        <x:color rgb="FFC65911"/>
      </x:bottom>
    </x:border>
    <x:border>
      <x:bottom style="medium">
        <x:color rgb="FFC65911"/>
      </x:bottom>
    </x:border>
    <x:border>
      <x:right style="medium">
        <x:color rgb="FFC65911"/>
      </x:right>
      <x:bottom style="medium">
        <x:color rgb="FFC65911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8" fillId="8" borderId="1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6" borderId="11" xfId="0" applyNumberFormat="1" applyFont="1" applyFill="1" applyBorder="1" applyAlignment="1">
      <x:alignment vertical="top" wrapText="1"/>
    </x:xf>
    <x:xf numFmtId="0" fontId="9" fillId="6" borderId="12" xfId="0" applyNumberFormat="1" applyFont="1" applyFill="1" applyBorder="1" applyAlignment="1">
      <x:alignment vertical="top" wrapText="1"/>
    </x:xf>
    <x:xf numFmtId="0" fontId="9" fillId="6" borderId="13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13" xfId="0" applyNumberFormat="1" applyFont="1" applyFill="1" applyBorder="1" applyAlignment="1">
      <x:alignment vertical="top" wrapText="1"/>
    </x:xf>
    <x:xf numFmtId="200" fontId="9" fillId="0" borderId="11" xfId="0" applyNumberFormat="1" applyFont="1" applyFill="1" applyBorder="1" applyAlignment="1">
      <x:alignment vertical="top" wrapText="1"/>
    </x:xf>
    <x:xf numFmtId="200" fontId="9" fillId="0" borderId="12" xfId="0" applyNumberFormat="1" applyFont="1" applyFill="1" applyBorder="1" applyAlignment="1">
      <x:alignment vertical="top" wrapText="1"/>
    </x:xf>
    <x:xf numFmtId="200" fontId="9" fillId="0" borderId="13" xfId="0" applyNumberFormat="1" applyFont="1" applyFill="1" applyBorder="1" applyAlignment="1">
      <x:alignment vertical="top" wrapText="1"/>
    </x:xf>
    <x:xf numFmtId="200" fontId="9" fillId="6" borderId="11" xfId="0" applyNumberFormat="1" applyFont="1" applyFill="1" applyBorder="1" applyAlignment="1">
      <x:alignment vertical="top" wrapText="1"/>
    </x:xf>
    <x:xf numFmtId="200" fontId="9" fillId="6" borderId="12" xfId="0" applyNumberFormat="1" applyFont="1" applyFill="1" applyBorder="1" applyAlignment="1">
      <x:alignment vertical="top" wrapText="1"/>
    </x:xf>
    <x:xf numFmtId="200" fontId="9" fillId="6" borderId="13" xfId="0" applyNumberFormat="1" applyFont="1" applyFill="1" applyBorder="1" applyAlignment="1">
      <x:alignment vertical="top" wrapText="1"/>
    </x:xf>
    <x:xf numFmtId="200" fontId="6" fillId="6" borderId="11" xfId="0" applyNumberFormat="1" applyFont="1" applyFill="1" applyBorder="1" applyAlignment="1">
      <x:alignment vertical="top" wrapText="1"/>
    </x:xf>
    <x:xf numFmtId="200" fontId="6" fillId="6" borderId="12" xfId="0" applyNumberFormat="1" applyFont="1" applyFill="1" applyBorder="1" applyAlignment="1">
      <x:alignment vertical="top" wrapText="1"/>
    </x:xf>
    <x:xf numFmtId="200" fontId="6" fillId="6" borderId="13" xfId="0" applyNumberFormat="1" applyFont="1" applyFill="1" applyBorder="1" applyAlignment="1">
      <x:alignment vertical="top" wrapText="1"/>
    </x:xf>
    <x:xf numFmtId="201" fontId="9" fillId="0" borderId="11" xfId="0" applyNumberFormat="1" applyFont="1" applyFill="1" applyBorder="1" applyAlignment="1">
      <x:alignment vertical="top" wrapText="1"/>
    </x:xf>
    <x:xf numFmtId="201" fontId="9" fillId="0" borderId="12" xfId="0" applyNumberFormat="1" applyFont="1" applyFill="1" applyBorder="1" applyAlignment="1">
      <x:alignment vertical="top" wrapText="1"/>
    </x:xf>
    <x:xf numFmtId="201" fontId="9" fillId="0" borderId="13" xfId="0" applyNumberFormat="1" applyFont="1" applyFill="1" applyBorder="1" applyAlignment="1">
      <x:alignment vertical="top" wrapText="1"/>
    </x:xf>
    <x:xf numFmtId="201" fontId="9" fillId="6" borderId="11" xfId="0" applyNumberFormat="1" applyFont="1" applyFill="1" applyBorder="1" applyAlignment="1">
      <x:alignment vertical="top" wrapText="1"/>
    </x:xf>
    <x:xf numFmtId="201" fontId="9" fillId="6" borderId="12" xfId="0" applyNumberFormat="1" applyFont="1" applyFill="1" applyBorder="1" applyAlignment="1">
      <x:alignment vertical="top" wrapText="1"/>
    </x:xf>
    <x:xf numFmtId="201" fontId="9" fillId="6" borderId="13" xfId="0" applyNumberFormat="1" applyFont="1" applyFill="1" applyBorder="1" applyAlignment="1">
      <x:alignment vertical="top" wrapText="1"/>
    </x:xf>
    <x:xf numFmtId="201" fontId="6" fillId="6" borderId="11" xfId="0" applyNumberFormat="1" applyFont="1" applyFill="1" applyBorder="1" applyAlignment="1">
      <x:alignment vertical="top" wrapText="1"/>
    </x:xf>
    <x:xf numFmtId="201" fontId="6" fillId="6" borderId="12" xfId="0" applyNumberFormat="1" applyFont="1" applyFill="1" applyBorder="1" applyAlignment="1">
      <x:alignment vertical="top" wrapText="1"/>
    </x:xf>
    <x:xf numFmtId="201" fontId="6" fillId="6" borderId="13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4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202" fontId="6" fillId="6" borderId="12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/>
    <x:xf numFmtId="0" fontId="0" fillId="0" borderId="0" xfId="0" applyNumberFormat="1" applyFont="1" applyFill="1" applyBorder="1"/>
    <x:xf numFmtId="0" fontId="5" fillId="0" borderId="7" xfId="0" applyNumberFormat="1" applyFont="1" applyFill="1" applyBorder="1"/>
    <x:xf numFmtId="203" fontId="0" fillId="0" borderId="7" xfId="0" applyNumberFormat="1" applyFont="1" applyFill="1" applyBorder="1"/>
    <x:xf numFmtId="0" fontId="11" fillId="4" borderId="0" xfId="0" applyNumberFormat="1" applyFont="1" applyFill="1" applyBorder="1"/>
    <x:xf numFmtId="0" fontId="11" fillId="4" borderId="15" xfId="0" applyNumberFormat="1" applyFont="1" applyFill="1" applyBorder="1"/>
    <x:xf numFmtId="0" fontId="11" fillId="4" borderId="16" xfId="0" applyNumberFormat="1" applyFont="1" applyFill="1" applyBorder="1"/>
    <x:xf numFmtId="0" fontId="11" fillId="4" borderId="17" xfId="0" applyNumberFormat="1" applyFont="1" applyFill="1" applyBorder="1"/>
    <x:xf numFmtId="0" fontId="11" fillId="4" borderId="18" xfId="0" applyNumberFormat="1" applyFont="1" applyFill="1" applyBorder="1"/>
    <x:xf numFmtId="0" fontId="11" fillId="4" borderId="19" xfId="0" applyNumberFormat="1" applyFont="1" applyFill="1" applyBorder="1"/>
    <x:xf numFmtId="0" fontId="11" fillId="4" borderId="20" xfId="0" applyNumberFormat="1" applyFont="1" applyFill="1" applyBorder="1"/>
    <x:xf numFmtId="0" fontId="11" fillId="4" borderId="15" xfId="0" applyNumberFormat="1" applyFont="1" applyFill="1" applyBorder="1" applyAlignment="1">
      <x:alignment wrapText="1"/>
    </x:xf>
    <x:xf numFmtId="0" fontId="11" fillId="4" borderId="16" xfId="0" applyNumberFormat="1" applyFont="1" applyFill="1" applyBorder="1" applyAlignment="1">
      <x:alignment wrapText="1"/>
    </x:xf>
    <x:xf numFmtId="0" fontId="11" fillId="4" borderId="17" xfId="0" applyNumberFormat="1" applyFont="1" applyFill="1" applyBorder="1" applyAlignment="1">
      <x:alignment wrapText="1"/>
    </x:xf>
    <x:xf numFmtId="0" fontId="11" fillId="4" borderId="18" xfId="0" applyNumberFormat="1" applyFont="1" applyFill="1" applyBorder="1" applyAlignment="1">
      <x:alignment wrapText="1"/>
    </x:xf>
    <x:xf numFmtId="0" fontId="11" fillId="4" borderId="19" xfId="0" applyNumberFormat="1" applyFont="1" applyFill="1" applyBorder="1" applyAlignment="1">
      <x:alignment wrapText="1"/>
    </x:xf>
    <x:xf numFmtId="0" fontId="11" fillId="4" borderId="20" xfId="0" applyNumberFormat="1" applyFont="1" applyFill="1" applyBorder="1" applyAlignment="1">
      <x:alignment wrapText="1"/>
    </x:xf>
    <x:xf numFmtId="0" fontId="11" fillId="4" borderId="15" xfId="0" applyNumberFormat="1" applyFont="1" applyFill="1" applyBorder="1" applyAlignment="1">
      <x:alignment horizontal="center" wrapText="1"/>
    </x:xf>
    <x:xf numFmtId="0" fontId="11" fillId="4" borderId="16" xfId="0" applyNumberFormat="1" applyFont="1" applyFill="1" applyBorder="1" applyAlignment="1">
      <x:alignment horizontal="center" wrapText="1"/>
    </x:xf>
    <x:xf numFmtId="0" fontId="11" fillId="4" borderId="17" xfId="0" applyNumberFormat="1" applyFont="1" applyFill="1" applyBorder="1" applyAlignment="1">
      <x:alignment horizontal="center" wrapText="1"/>
    </x:xf>
    <x:xf numFmtId="0" fontId="11" fillId="4" borderId="18" xfId="0" applyNumberFormat="1" applyFont="1" applyFill="1" applyBorder="1" applyAlignment="1">
      <x:alignment horizontal="center" wrapText="1"/>
    </x:xf>
    <x:xf numFmtId="0" fontId="11" fillId="4" borderId="19" xfId="0" applyNumberFormat="1" applyFont="1" applyFill="1" applyBorder="1" applyAlignment="1">
      <x:alignment horizontal="center" wrapText="1"/>
    </x:xf>
    <x:xf numFmtId="0" fontId="11" fillId="4" borderId="20" xfId="0" applyNumberFormat="1" applyFont="1" applyFill="1" applyBorder="1" applyAlignment="1">
      <x:alignment horizontal="center" wrapText="1"/>
    </x:xf>
    <x:xf numFmtId="0" fontId="11" fillId="4" borderId="15" xfId="0" applyNumberFormat="1" applyFont="1" applyFill="1" applyBorder="1" applyAlignment="1">
      <x:alignment horizontal="center" vertical="center" wrapText="1"/>
    </x:xf>
    <x:xf numFmtId="0" fontId="11" fillId="4" borderId="16" xfId="0" applyNumberFormat="1" applyFont="1" applyFill="1" applyBorder="1" applyAlignment="1">
      <x:alignment horizontal="center" vertical="center" wrapText="1"/>
    </x:xf>
    <x:xf numFmtId="0" fontId="11" fillId="4" borderId="17" xfId="0" applyNumberFormat="1" applyFont="1" applyFill="1" applyBorder="1" applyAlignment="1">
      <x:alignment horizontal="center" vertical="center" wrapText="1"/>
    </x:xf>
    <x:xf numFmtId="0" fontId="11" fillId="4" borderId="18" xfId="0" applyNumberFormat="1" applyFont="1" applyFill="1" applyBorder="1" applyAlignment="1">
      <x:alignment horizontal="center" vertical="center" wrapText="1"/>
    </x:xf>
    <x:xf numFmtId="0" fontId="11" fillId="4" borderId="19" xfId="0" applyNumberFormat="1" applyFont="1" applyFill="1" applyBorder="1" applyAlignment="1">
      <x:alignment horizontal="center" vertical="center" wrapText="1"/>
    </x:xf>
    <x:xf numFmtId="0" fontId="11" fillId="4" borderId="20" xfId="0" applyNumberFormat="1" applyFont="1" applyFill="1" applyBorder="1" applyAlignment="1">
      <x:alignment horizontal="center" vertical="center" wrapText="1"/>
    </x:xf>
    <x:xf numFmtId="204" fontId="0" fillId="0" borderId="11" xfId="0" applyNumberFormat="1" applyFont="1" applyFill="1" applyBorder="1" applyAlignment="1">
      <x:alignment vertical="top" wrapText="1"/>
    </x:xf>
    <x:xf numFmtId="204" fontId="0" fillId="0" borderId="12" xfId="0" applyNumberFormat="1" applyFont="1" applyFill="1" applyBorder="1" applyAlignment="1">
      <x:alignment vertical="top" wrapText="1"/>
    </x:xf>
    <x:xf numFmtId="204" fontId="0" fillId="0" borderId="14" xfId="0" applyNumberFormat="1" applyFont="1" applyFill="1" applyBorder="1" applyAlignment="1">
      <x:alignment vertical="top" wrapText="1"/>
    </x:xf>
    <x:xf numFmtId="204" fontId="0" fillId="0" borderId="11" xfId="0" applyNumberFormat="1" applyFont="1" applyFill="1" applyBorder="1" applyAlignment="1">
      <x:alignment horizontal="center" vertical="top" wrapText="1"/>
    </x:xf>
    <x:xf numFmtId="204" fontId="0" fillId="0" borderId="12" xfId="0" applyNumberFormat="1" applyFont="1" applyFill="1" applyBorder="1" applyAlignment="1">
      <x:alignment horizontal="center" vertical="top" wrapText="1"/>
    </x:xf>
    <x:xf numFmtId="204" fontId="0" fillId="0" borderId="14" xfId="0" applyNumberFormat="1" applyFont="1" applyFill="1" applyBorder="1" applyAlignment="1">
      <x:alignment horizontal="center" vertical="top" wrapText="1"/>
    </x:xf>
    <x:xf numFmtId="0" fontId="0" fillId="7" borderId="7" xfId="0" applyNumberFormat="1" applyFont="1" applyFill="1" applyBorder="1" applyAlignment="1">
      <x:alignment wrapText="1"/>
    </x:xf>
    <x:xf numFmtId="0" fontId="10" fillId="7" borderId="7" xfId="0" applyNumberFormat="1" applyFont="1" applyFill="1" applyBorder="1" applyAlignment="1">
      <x:alignment wrapText="1"/>
    </x:xf>
    <x:xf numFmtId="0" fontId="12" fillId="0" borderId="11" xfId="0" applyNumberFormat="1" applyFont="1" applyFill="1" applyBorder="1" applyAlignment="1">
      <x:alignment vertical="top" wrapText="1"/>
    </x:xf>
    <x:xf numFmtId="0" fontId="12" fillId="0" borderId="12" xfId="0" applyNumberFormat="1" applyFont="1" applyFill="1" applyBorder="1" applyAlignment="1">
      <x:alignment vertical="top" wrapText="1"/>
    </x:xf>
    <x:xf numFmtId="0" fontId="12" fillId="0" borderId="1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4" xfId="0" applyNumberFormat="1" applyFont="1" applyFill="1" applyBorder="1"/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vertical="top" wrapText="1"/>
    </x:xf>
    <x:xf numFmtId="0" fontId="8" fillId="8" borderId="1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203" fontId="0" fillId="0" borderId="7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11" fillId="4" borderId="15" xfId="0" applyNumberFormat="1" applyFont="1" applyFill="1" applyBorder="1" applyAlignment="1">
      <x:alignment horizontal="center" vertical="top" wrapText="1"/>
    </x:xf>
    <x:xf numFmtId="0" fontId="11" fillId="4" borderId="16" xfId="0" applyNumberFormat="1" applyFont="1" applyFill="1" applyBorder="1" applyAlignment="1">
      <x:alignment horizontal="center" vertical="top" wrapText="1"/>
    </x:xf>
    <x:xf numFmtId="0" fontId="11" fillId="4" borderId="17" xfId="0" applyNumberFormat="1" applyFont="1" applyFill="1" applyBorder="1" applyAlignment="1">
      <x:alignment horizontal="center" vertical="top" wrapText="1"/>
    </x:xf>
    <x:xf numFmtId="0" fontId="11" fillId="4" borderId="18" xfId="0" applyNumberFormat="1" applyFont="1" applyFill="1" applyBorder="1" applyAlignment="1">
      <x:alignment horizontal="center" vertical="top" wrapText="1"/>
    </x:xf>
    <x:xf numFmtId="0" fontId="11" fillId="4" borderId="19" xfId="0" applyNumberFormat="1" applyFont="1" applyFill="1" applyBorder="1" applyAlignment="1">
      <x:alignment horizontal="center" vertical="top" wrapText="1"/>
    </x:xf>
    <x:xf numFmtId="0" fontId="11" fillId="4" borderId="20" xfId="0" applyNumberFormat="1" applyFont="1" applyFill="1" applyBorder="1" applyAlignment="1">
      <x:alignment horizontal="center" vertical="top" wrapText="1"/>
    </x:xf>
    <x:xf numFmtId="0" fontId="10" fillId="8" borderId="0" xfId="0" applyNumberFormat="1" applyFont="1" applyFill="1" applyBorder="1" applyAlignment="1">
      <x:alignment vertical="top"/>
    </x:xf>
    <x:xf numFmtId="0" fontId="10" fillId="7" borderId="7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4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2591d0fa54d82" /><Relationship Type="http://schemas.openxmlformats.org/officeDocument/2006/relationships/theme" Target="/xl/theme/theme1.xml" Id="R99d755872cde45f6" /><Relationship Type="http://schemas.openxmlformats.org/officeDocument/2006/relationships/sharedStrings" Target="/xl/sharedStrings.xml" Id="R444bd8da47e54342" /><Relationship Type="http://schemas.openxmlformats.org/officeDocument/2006/relationships/worksheet" Target="/xl/worksheets/sheet1.xml" Id="R756568823d1d490c" /><Relationship Type="http://schemas.openxmlformats.org/officeDocument/2006/relationships/worksheet" Target="/xl/worksheets/sheet2.xml" Id="R6e47116ab69e4d62" /><Relationship Type="http://schemas.openxmlformats.org/officeDocument/2006/relationships/worksheet" Target="/xl/worksheets/sheet3.xml" Id="R6be711c209314461" /><Relationship Type="http://schemas.openxmlformats.org/officeDocument/2006/relationships/worksheet" Target="/xl/worksheets/sheet4.xml" Id="R4e0b0f992e0841ae" /><Relationship Type="http://schemas.openxmlformats.org/officeDocument/2006/relationships/worksheet" Target="/xl/worksheets/sheet5.xml" Id="Rc947c20059534bc5" /><Relationship Type="http://schemas.openxmlformats.org/officeDocument/2006/relationships/worksheet" Target="/xl/worksheets/sheet6.xml" Id="R888dbe7fe3b74fd2" /><Relationship Type="http://schemas.openxmlformats.org/officeDocument/2006/relationships/worksheet" Target="/xl/worksheets/sheet7.xml" Id="Rcb4325ee6a5e4c59" /><Relationship Type="http://schemas.openxmlformats.org/officeDocument/2006/relationships/worksheet" Target="/xl/worksheets/sheet8.xml" Id="R482268c8983e4cd9" /><Relationship Type="http://schemas.openxmlformats.org/officeDocument/2006/relationships/worksheet" Target="/xl/worksheets/sheet9.xml" Id="Rb623e8eaa4814542" /><Relationship Type="http://schemas.openxmlformats.org/officeDocument/2006/relationships/worksheet" Target="/xl/worksheets/sheet10.xml" Id="Rc558a1728dd74274" /><Relationship Type="http://schemas.openxmlformats.org/officeDocument/2006/relationships/worksheet" Target="/xl/worksheets/sheet11.xml" Id="R34d850e73da046a4" /></Relationships>
</file>

<file path=xl/tables/table1.xml><?xml version="1.0" encoding="utf-8"?>
<x:table xmlns:x="http://schemas.openxmlformats.org/spreadsheetml/2006/main" id="1" name="GuidedSequence" displayName="GuidedSequence" ref="A13:D23" headerRowCount="1" totalsRowCount="0" totalsRowShown="0">
  <x:autoFilter ref="A13:D23"/>
  <x:tableColumns count="4">
    <x:tableColumn id="1" name="Step"/>
    <x:tableColumn id="2" name="Action"/>
    <x:tableColumn id="3" name="Plain-language instruction"/>
    <x:tableColumn id="4" name="Working 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FormRegister" displayName="OfficialFormRegister" ref="A5:O36" headerRowCount="1" totalsRowCount="0" totalsRowShown="0">
  <x:autoFilter ref="A5:O36"/>
  <x:tableColumns count="15">
    <x:tableColumn id="1" name="Family"/>
    <x:tableColumn id="2" name="Form number"/>
    <x:tableColumn id="3" name="Official title"/>
    <x:tableColumn id="4" name="Manual phase"/>
    <x:tableColumn id="5" name="Sequence"/>
    <x:tableColumn id="6" name="Starter owner / signatory note"/>
    <x:tableColumn id="7" name="Process use"/>
    <x:tableColumn id="8" name="GRAND area"/>
    <x:tableColumn id="9" name="Applicability status"/>
    <x:tableColumn id="10" name="Official source"/>
    <x:tableColumn id="11" name="Local accepted reference"/>
    <x:tableColumn id="12" name="Current revision / effectivity"/>
    <x:tableColumn id="13" name="Delivery mode"/>
    <x:tableColumn id="14" name="Local form owner"/>
    <x:tableColumn id="15" name="Notes / differen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Mapping" displayName="FieldMapping" ref="A5:O30" headerRowCount="1" totalsRowCount="0" totalsRowShown="0">
  <x:autoFilter ref="A5:O30"/>
  <x:tableColumns count="15">
    <x:tableColumn id="1" name="Form"/>
    <x:tableColumn id="2" name="Section"/>
    <x:tableColumn id="3" name="Field / column group"/>
    <x:tableColumn id="4" name="Requirement type"/>
    <x:tableColumn id="5" name="GRAND data source"/>
    <x:tableColumn id="6" name="Transformation / display rule"/>
    <x:tableColumn id="7" name="Control total / validation"/>
    <x:tableColumn id="8" name="Owner / custody"/>
    <x:tableColumn id="9" name="Print / page behavior"/>
    <x:tableColumn id="10" name="Mapping status"/>
    <x:tableColumn id="11" name="Accepted local field label"/>
    <x:tableColumn id="12" name="Decision / evidence ref"/>
    <x:tableColumn id="13" name="Sample result"/>
    <x:tableColumn id="14" name="Mapping row ID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ADocumentRules" displayName="COADocumentRules" ref="A5:O15" headerRowCount="1" totalsRowCount="0" totalsRowShown="0">
  <x:autoFilter ref="A5:O15"/>
  <x:tableColumns count="15">
    <x:tableColumn id="1" name="Rule ID"/>
    <x:tableColumn id="2" name="Transaction variant"/>
    <x:tableColumn id="3" name="Payee / claimant class"/>
    <x:tableColumn id="4" name="Condition"/>
    <x:tableColumn id="5" name="Exact requirement"/>
    <x:tableColumn id="6" name="Original / certified / other"/>
    <x:tableColumn id="7" name="Responsible office"/>
    <x:tableColumn id="8" name="Official source / exact section"/>
    <x:tableColumn id="9" name="Effectivity / amendment"/>
    <x:tableColumn id="10" name="Current applicability"/>
    <x:tableColumn id="11" name="Waiver / exception authority"/>
    <x:tableColumn id="12" name="Return message"/>
    <x:tableColumn id="13" name="Local decision ref"/>
    <x:tableColumn id="14" name="Evidence ref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acticalTests" displayName="PracticalTests" ref="A5:Q12" headerRowCount="1" totalsRowCount="0" totalsRowShown="0">
  <x:autoFilter ref="A5:Q12"/>
  <x:tableColumns count="17">
    <x:tableColumn id="1" name="Test ID"/>
    <x:tableColumn id="2" name="Test category"/>
    <x:tableColumn id="3" name="Pass objective"/>
    <x:tableColumn id="4" name="Form code / version"/>
    <x:tableColumn id="5" name="Sample / reference"/>
    <x:tableColumn id="6" name="Device / printer / stock"/>
    <x:tableColumn id="7" name="Test owner"/>
    <x:tableColumn id="8" name="Different witness"/>
    <x:tableColumn id="9" name="Planned date"/>
    <x:tableColumn id="10" name="Observed result"/>
    <x:tableColumn id="11" name="Result status"/>
    <x:tableColumn id="12" name="Evidence reference"/>
    <x:tableColumn id="13" name="Evidence SHA-256"/>
    <x:tableColumn id="14" name="Issue / decision ID"/>
    <x:tableColumn id="15" name="Rerun of"/>
    <x:tableColumn id="16" name="Completed date"/>
    <x:tableColumn id="1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ercisesOwners" displayName="ExercisesOwners" ref="A5:P14" headerRowCount="1" totalsRowCount="0" totalsRowShown="0">
  <x:autoFilter ref="A5:P14"/>
  <x:tableColumns count="16">
    <x:tableColumn id="1" name="Exercise ID"/>
    <x:tableColumn id="2" name="Stakeholder / office"/>
    <x:tableColumn id="3" name="Starter scenario"/>
    <x:tableColumn id="4" name="Local scope / variant"/>
    <x:tableColumn id="5" name="Owner"/>
    <x:tableColumn id="6" name="Different witness"/>
    <x:tableColumn id="7" name="Procedure"/>
    <x:tableColumn id="8" name="Observable pass condition"/>
    <x:tableColumn id="9" name="Due date"/>
    <x:tableColumn id="10" name="Status"/>
    <x:tableColumn id="11" name="Support route"/>
    <x:tableColumn id="12" name="Observed result"/>
    <x:tableColumn id="13" name="Evidence ref"/>
    <x:tableColumn id="14" name="Rerun of"/>
    <x:tableColumn id="15" name="Completed date"/>
    <x:tableColumn id="1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Cycles" displayName="FieldCycles" ref="A5:V8" headerRowCount="1" totalsRowCount="0" totalsRowShown="0">
  <x:autoFilter ref="A5:V8"/>
  <x:tableColumns count="22">
    <x:tableColumn id="1" name="Cycle ID"/>
    <x:tableColumn id="2" name="Mode"/>
    <x:tableColumn id="3" name="Predecessor"/>
    <x:tableColumn id="4" name="Scope / period"/>
    <x:tableColumn id="5" name="Source lock / reference"/>
    <x:tableColumn id="6" name="Accepted form set / checksum"/>
    <x:tableColumn id="7" name="Source case count"/>
    <x:tableColumn id="8" name="GRAND case count"/>
    <x:tableColumn id="9" name="Source batch count"/>
    <x:tableColumn id="10" name="GRAND batch count"/>
    <x:tableColumn id="11" name="Source amount"/>
    <x:tableColumn id="12" name="GRAND amount"/>
    <x:tableColumn id="13" name="Register difference"/>
    <x:tableColumn id="14" name="Ledger difference"/>
    <x:tableColumn id="15" name="Report difference"/>
    <x:tableColumn id="16" name="Open defects"/>
    <x:tableColumn id="17" name="Resolved defects"/>
    <x:tableColumn id="18" name="Reconciliation owner"/>
    <x:tableColumn id="19" name="Decision status"/>
    <x:tableColumn id="20" name="Different reviewer"/>
    <x:tableColumn id="21" name="Evidence ref"/>
    <x:tableColumn id="22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ocalDecisions" displayName="LocalDecisions" ref="A5:N12" headerRowCount="1" totalsRowCount="0" totalsRowShown="0">
  <x:autoFilter ref="A5:N12"/>
  <x:tableColumns count="14">
    <x:tableColumn id="1" name="Decision ID"/>
    <x:tableColumn id="2" name="Topic"/>
    <x:tableColumn id="3" name="Question"/>
    <x:tableColumn id="4" name="Options considered"/>
    <x:tableColumn id="5" name="Official / local basis"/>
    <x:tableColumn id="6" name="Decision owner"/>
    <x:tableColumn id="7" name="Due date"/>
    <x:tableColumn id="8" name="Effective scope"/>
    <x:tableColumn id="9" name="Status"/>
    <x:tableColumn id="10" name="Decision"/>
    <x:tableColumn id="11" name="Authority / evidence ref"/>
    <x:tableColumn id="12" name="Effectivity"/>
    <x:tableColumn id="13" name="Successor / supersedes"/>
    <x:tableColumn id="14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Scope" displayName="SourcesScope" ref="A5:H11" headerRowCount="1" totalsRowCount="0" totalsRowShown="0">
  <x:autoFilter ref="A5:H11"/>
  <x:tableColumns count="8">
    <x:tableColumn id="1" name="Source ID"/>
    <x:tableColumn id="2" name="Authority label"/>
    <x:tableColumn id="3" name="Title"/>
    <x:tableColumn id="4" name="Location"/>
    <x:tableColumn id="5" name="Issue / as-of"/>
    <x:tableColumn id="6" name="Used for"/>
    <x:tableColumn id="7" name="Applicability question / limitation"/>
    <x:tableColumn id="8" name="Workbook 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0d0c5891244a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fca8033cc64d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490321211d40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fcc99a1e3446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cd3b0c28a24b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f1d9d13beaf4c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fc2b26a753c45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86fbcabb5545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19b5ca16fa4b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62" hidden="0" customWidth="1"/>
    <x:col min="4" max="4" width="2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146" t="str">
        <x:v>GRAND Finance field-acceptance starter</x:v>
      </x:c>
      <x:c r="B1" s="146"/>
      <x:c r="C1" s="146"/>
      <x:c r="D1" s="146"/>
      <x:c r="E1" s="146"/>
      <x:c r="F1" s="146"/>
      <x:c r="G1" s="146"/>
      <x:c r="H1" s="146"/>
    </x:row>
    <x:row r="2" ht="34" customHeight="1">
      <x:c r="A2" s="147" t="str">
        <x:v>Editable planning and evidence workbook — candidate forms remain non-authoritative until local review, practical testing, and independent acceptance are complete.</x:v>
      </x:c>
      <x:c r="B2" s="147"/>
      <x:c r="C2" s="147"/>
      <x:c r="D2" s="147"/>
      <x:c r="E2" s="147"/>
      <x:c r="F2" s="147"/>
      <x:c r="G2" s="147"/>
      <x:c r="H2" s="147"/>
    </x:row>
    <x:row r="3">
      <x:c r="A3" s="148"/>
      <x:c r="B3" s="148"/>
      <x:c r="C3" s="148"/>
      <x:c r="D3" s="148"/>
      <x:c r="E3" s="148"/>
      <x:c r="F3" s="148"/>
      <x:c r="G3" s="148"/>
      <x:c r="H3" s="148"/>
    </x:row>
    <x:row r="4" ht="24" customHeight="1">
      <x:c r="A4" s="149" t="str">
        <x:v>Important boundary</x:v>
      </x:c>
      <x:c r="B4" s="149"/>
      <x:c r="C4" s="149"/>
      <x:c r="D4" s="149"/>
      <x:c r="E4" s="149"/>
      <x:c r="F4" s="149"/>
      <x:c r="G4" s="149"/>
      <x:c r="H4" s="149"/>
    </x:row>
    <x:row r="5">
      <x:c r="A5" s="150" t="str">
        <x:v>This workbook is a starter for discovery, mapping, trials, and decision records. It does not activate a GRAND template, replace a signed local form, establish a COA requirement, authorize cutover, or prove that an LGU has accepted a workflow.</x:v>
      </x:c>
      <x:c r="B5" s="151"/>
      <x:c r="C5" s="151"/>
      <x:c r="D5" s="151"/>
      <x:c r="E5" s="151"/>
      <x:c r="F5" s="151"/>
      <x:c r="G5" s="151"/>
      <x:c r="H5" s="152"/>
    </x:row>
    <x:row r="6">
      <x:c r="A6" s="153"/>
      <x:c r="B6" s="154"/>
      <x:c r="C6" s="154"/>
      <x:c r="D6" s="154"/>
      <x:c r="E6" s="154"/>
      <x:c r="F6" s="154"/>
      <x:c r="G6" s="154"/>
      <x:c r="H6" s="155"/>
    </x:row>
    <x:row r="7">
      <x:c r="A7" s="148"/>
      <x:c r="B7" s="148"/>
      <x:c r="C7" s="148"/>
      <x:c r="D7" s="148"/>
      <x:c r="E7" s="148"/>
      <x:c r="F7" s="148"/>
      <x:c r="G7" s="148"/>
      <x:c r="H7" s="148"/>
    </x:row>
    <x:row r="8">
      <x:c r="A8" s="156" t="str">
        <x:v>LGU name</x:v>
      </x:c>
      <x:c r="B8" s="157" t="str">
        <x:v>Enter LGU name</x:v>
      </x:c>
      <x:c r="C8" s="158" t="str">
        <x:v>LGU level</x:v>
      </x:c>
      <x:c r="D8" s="157" t="str">
        <x:v>Province / City / Municipality</x:v>
      </x:c>
      <x:c r="E8" s="158" t="str">
        <x:v>Fiscal year</x:v>
      </x:c>
      <x:c r="F8" s="157" t="str">
        <x:v>Enter FY</x:v>
      </x:c>
      <x:c r="G8" s="158" t="str">
        <x:v>Workbook version</x:v>
      </x:c>
      <x:c r="H8" s="158" t="str">
        <x:v>Starter v1</x:v>
      </x:c>
    </x:row>
    <x:row r="9">
      <x:c r="A9" s="156" t="str">
        <x:v>Prepared by</x:v>
      </x:c>
      <x:c r="B9" s="157" t="str">
        <x:v>Enter name and office</x:v>
      </x:c>
      <x:c r="C9" s="158" t="str">
        <x:v>Reviewed by</x:v>
      </x:c>
      <x:c r="D9" s="157" t="str">
        <x:v>Enter name and office</x:v>
      </x:c>
      <x:c r="E9" s="158" t="str">
        <x:v>Evidence custodian</x:v>
      </x:c>
      <x:c r="F9" s="157" t="str">
        <x:v>Enter office</x:v>
      </x:c>
      <x:c r="G9" s="158" t="str">
        <x:v>As-of date</x:v>
      </x:c>
      <x:c r="H9" s="158" t="str">
        <x:v>2026-09-02</x:v>
      </x:c>
    </x:row>
    <x:row r="10">
      <x:c r="A10" s="148"/>
      <x:c r="B10" s="148"/>
      <x:c r="C10" s="148"/>
      <x:c r="D10" s="148"/>
      <x:c r="E10" s="148"/>
      <x:c r="F10" s="148"/>
      <x:c r="G10" s="148"/>
      <x:c r="H10" s="148"/>
    </x:row>
    <x:row r="11">
      <x:c r="A11" s="148"/>
      <x:c r="B11" s="148"/>
      <x:c r="C11" s="148"/>
      <x:c r="D11" s="148"/>
      <x:c r="E11" s="148"/>
      <x:c r="F11" s="148"/>
      <x:c r="G11" s="148"/>
      <x:c r="H11" s="148"/>
    </x:row>
    <x:row r="12" ht="24" customHeight="1">
      <x:c r="A12" s="159" t="str">
        <x:v>Guided sequence</x:v>
      </x:c>
      <x:c r="B12" s="159"/>
      <x:c r="C12" s="159"/>
      <x:c r="D12" s="159"/>
      <x:c r="E12" s="159"/>
      <x:c r="F12" s="159"/>
      <x:c r="G12" s="159"/>
      <x:c r="H12" s="159"/>
    </x:row>
    <x:row r="13" ht="32" customHeight="1">
      <x:c r="A13" s="160" t="str">
        <x:v>Step</x:v>
      </x:c>
      <x:c r="B13" s="161" t="str">
        <x:v>Action</x:v>
      </x:c>
      <x:c r="C13" s="161" t="str">
        <x:v>Plain-language instruction</x:v>
      </x:c>
      <x:c r="D13" s="162" t="str">
        <x:v>Working sheet</x:v>
      </x:c>
      <x:c r="E13" s="148"/>
      <x:c r="F13" s="148"/>
      <x:c r="G13" s="148"/>
      <x:c r="H13" s="148"/>
    </x:row>
    <x:row r="14">
      <x:c r="A14" s="56" t="n">
        <x:v>1</x:v>
      </x:c>
      <x:c r="B14" s="56" t="str">
        <x:v>Confirm applicability</x:v>
      </x:c>
      <x:c r="C14" s="56" t="str">
        <x:v>Review Sources and Scope. Record which national references and local issuances actually apply.</x:v>
      </x:c>
      <x:c r="D14" s="56" t="str">
        <x:v>Sources and Scope; Decisions</x:v>
      </x:c>
      <x:c r="E14" s="148"/>
      <x:c r="F14" s="148"/>
      <x:c r="G14" s="148"/>
      <x:c r="H14" s="148"/>
    </x:row>
    <x:row r="15">
      <x:c r="A15" s="57" t="n">
        <x:v>2</x:v>
      </x:c>
      <x:c r="B15" s="57" t="str">
        <x:v>Register each form</x:v>
      </x:c>
      <x:c r="C15" s="57" t="str">
        <x:v>Use the Official Form Register to confirm identity, current revision, local authority, owners, signatories, and delivery mode.</x:v>
      </x:c>
      <x:c r="D15" s="57" t="str">
        <x:v>Official Form Register</x:v>
      </x:c>
      <x:c r="E15" s="148"/>
      <x:c r="F15" s="148"/>
      <x:c r="G15" s="148"/>
      <x:c r="H15" s="148"/>
    </x:row>
    <x:row r="16">
      <x:c r="A16" s="57" t="n">
        <x:v>3</x:v>
      </x:c>
      <x:c r="B16" s="57" t="str">
        <x:v>Map fields and controls</x:v>
      </x:c>
      <x:c r="C16" s="57" t="str">
        <x:v>Translate the accepted paper or electronic form into editable sections, data sources, totals, signatory routes, and print behavior.</x:v>
      </x:c>
      <x:c r="D16" s="57" t="str">
        <x:v>Field Mapping</x:v>
      </x:c>
      <x:c r="E16" s="148"/>
      <x:c r="F16" s="148"/>
      <x:c r="G16" s="148"/>
      <x:c r="H16" s="148"/>
    </x:row>
    <x:row r="17">
      <x:c r="A17" s="57" t="n">
        <x:v>4</x:v>
      </x:c>
      <x:c r="B17" s="57" t="str">
        <x:v>Confirm document rules</x:v>
      </x:c>
      <x:c r="C17" s="57" t="str">
        <x:v>Copy exact current transaction-specific requirements only after Accounting/COA verification; do not infer from this starter.</x:v>
      </x:c>
      <x:c r="D17" s="57" t="str">
        <x:v>COA Document Rules</x:v>
      </x:c>
      <x:c r="E17" s="148"/>
      <x:c r="F17" s="148"/>
      <x:c r="G17" s="148"/>
      <x:c r="H17" s="148"/>
    </x:row>
    <x:row r="18">
      <x:c r="A18" s="57" t="n">
        <x:v>5</x:v>
      </x:c>
      <x:c r="B18" s="57" t="str">
        <x:v>Run seven practical tests</x:v>
      </x:c>
      <x:c r="C18" s="57" t="str">
        <x:v>Use redacted or synthetic packets, different witnesses, actual printers/devices, overflow cases, and rollback trials.</x:v>
      </x:c>
      <x:c r="D18" s="57" t="str">
        <x:v>Practical Tests</x:v>
      </x:c>
      <x:c r="E18" s="148"/>
      <x:c r="F18" s="148"/>
      <x:c r="G18" s="148"/>
      <x:c r="H18" s="148"/>
    </x:row>
    <x:row r="19">
      <x:c r="A19" s="57" t="n">
        <x:v>6</x:v>
      </x:c>
      <x:c r="B19" s="57" t="str">
        <x:v>Prepare role exercises</x:v>
      </x:c>
      <x:c r="C19" s="57" t="str">
        <x:v>Name owners and different witnesses for Budget, Accounting, Treasury, requesting offices, support, accessibility, and recovery.</x:v>
      </x:c>
      <x:c r="D19" s="57" t="str">
        <x:v>Exercises and Owners</x:v>
      </x:c>
      <x:c r="E19" s="148"/>
      <x:c r="F19" s="148"/>
      <x:c r="G19" s="148"/>
      <x:c r="H19" s="148"/>
    </x:row>
    <x:row r="20">
      <x:c r="A20" s="57" t="n">
        <x:v>7</x:v>
      </x:c>
      <x:c r="B20" s="57" t="str">
        <x:v>Reconcile field cycles</x:v>
      </x:c>
      <x:c r="C20" s="57" t="str">
        <x:v>Compare source and GRAND counts/amounts by case, batch, period, register, ledger, and report. Resolve every difference.</x:v>
      </x:c>
      <x:c r="D20" s="57" t="str">
        <x:v>Field Cycles</x:v>
      </x:c>
      <x:c r="E20" s="148"/>
      <x:c r="F20" s="148"/>
      <x:c r="G20" s="148"/>
      <x:c r="H20" s="148"/>
    </x:row>
    <x:row r="21">
      <x:c r="A21" s="57" t="n">
        <x:v>8</x:v>
      </x:c>
      <x:c r="B21" s="57" t="str">
        <x:v>Prove recovery</x:v>
      </x:c>
      <x:c r="C21" s="57" t="str">
        <x:v>Record an isolated two-store restore rehearsal and verify RPO/RTO, control totals, cross-store behavior, runtime files, and disposal.</x:v>
      </x:c>
      <x:c r="D21" s="57" t="str">
        <x:v>Recovery Rehearsal</x:v>
      </x:c>
      <x:c r="E21" s="148"/>
      <x:c r="F21" s="148"/>
      <x:c r="G21" s="148"/>
      <x:c r="H21" s="148"/>
    </x:row>
    <x:row r="22">
      <x:c r="A22" s="57" t="n">
        <x:v>9</x:v>
      </x:c>
      <x:c r="B22" s="57" t="str">
        <x:v>Resolve decisions</x:v>
      </x:c>
      <x:c r="C22" s="57" t="str">
        <x:v>Retain exact authority and decision references; keep unresolved issues visible.</x:v>
      </x:c>
      <x:c r="D22" s="57" t="str">
        <x:v>Decisions</x:v>
      </x:c>
      <x:c r="E22" s="148"/>
      <x:c r="F22" s="148"/>
      <x:c r="G22" s="148"/>
      <x:c r="H22" s="148"/>
    </x:row>
    <x:row r="23">
      <x:c r="A23" s="58" t="n">
        <x:v>10</x:v>
      </x:c>
      <x:c r="B23" s="58" t="str">
        <x:v>Review readiness</x:v>
      </x:c>
      <x:c r="C23" s="58" t="str">
        <x:v>Use the summary as a planning signal only. GRAND's F10/F11 workflow remains the governed acceptance and cutover record.</x:v>
      </x:c>
      <x:c r="D23" s="58" t="str">
        <x:v>Acceptance Summary</x:v>
      </x:c>
      <x:c r="E23" s="148"/>
      <x:c r="F23" s="148"/>
      <x:c r="G23" s="148"/>
      <x:c r="H23" s="148"/>
    </x:row>
  </x:sheetData>
  <x:mergeCells>
    <x:mergeCell ref="A1:H1"/>
    <x:mergeCell ref="A2:H2"/>
    <x:mergeCell ref="A4:H4"/>
    <x:mergeCell ref="A5:H6"/>
    <x:mergeCell ref="A12:H12"/>
  </x:mergeCells>
  <x:pageMargins left="0.7" right="0.7" top="0.75" bottom="0.75" header="0.3" footer="0.3"/>
  <x:tableParts count="1">
    <x:tablePart xmlns:r="http://schemas.openxmlformats.org/officeDocument/2006/relationships" r:id="Rec0d0c5891244a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48" hidden="0" customWidth="1"/>
    <x:col min="4" max="4" width="20" hidden="0" customWidth="1"/>
    <x:col min="5" max="5" width="10" hidden="0" customWidth="1"/>
    <x:col min="6" max="6" width="42" hidden="0" customWidth="1"/>
    <x:col min="7" max="7" width="24" hidden="0" customWidth="1"/>
    <x:col min="8" max="8" width="25" hidden="0" customWidth="1"/>
    <x:col min="9" max="9" width="24" hidden="0" customWidth="1"/>
    <x:col min="10" max="10" width="25" hidden="0" customWidth="1"/>
    <x:col min="11" max="11" width="28" hidden="0" customWidth="1"/>
    <x:col min="12" max="12" width="22" hidden="0" customWidth="1"/>
    <x:col min="13" max="13" width="18" hidden="0" customWidth="1"/>
    <x:col min="14" max="14" width="22" hidden="0" customWidth="1"/>
    <x:col min="15" max="15" width="38" hidden="0" customWidth="1"/>
  </x:cols>
  <x:sheetData>
    <x:row r="1" ht="30" customHeight="1">
      <x:c r="A1" s="146" t="str">
        <x:v>Official form register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</x:row>
    <x:row r="2" ht="34" customHeight="1">
      <x:c r="A2" s="147" t="str">
        <x:v>Starter inventory from the DBM Budget Operations Manual for LGUs, 2023 Edition. Manual-page numbering and current local applicability must be verified against the retained source and local issuances.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</x:row>
    <x:row r="3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  <x:c r="M3" s="148"/>
      <x:c r="N3" s="148"/>
      <x:c r="O3" s="148"/>
    </x:row>
    <x:row r="4">
      <x:c r="A4" s="148"/>
      <x:c r="B4" s="148"/>
      <x:c r="C4" s="148"/>
      <x:c r="D4" s="148"/>
      <x:c r="E4" s="148"/>
      <x:c r="F4" s="148"/>
      <x:c r="G4" s="148"/>
      <x:c r="H4" s="148"/>
      <x:c r="I4" s="148"/>
      <x:c r="J4" s="148"/>
      <x:c r="K4" s="148"/>
      <x:c r="L4" s="148"/>
      <x:c r="M4" s="148"/>
      <x:c r="N4" s="148"/>
      <x:c r="O4" s="148"/>
    </x:row>
    <x:row r="5" ht="32" customHeight="1">
      <x:c r="A5" s="160" t="str">
        <x:v>Family</x:v>
      </x:c>
      <x:c r="B5" s="161" t="str">
        <x:v>Form number</x:v>
      </x:c>
      <x:c r="C5" s="161" t="str">
        <x:v>Official title</x:v>
      </x:c>
      <x:c r="D5" s="161" t="str">
        <x:v>Manual phase</x:v>
      </x:c>
      <x:c r="E5" s="161" t="str">
        <x:v>Sequence</x:v>
      </x:c>
      <x:c r="F5" s="161" t="str">
        <x:v>Starter owner / signatory note</x:v>
      </x:c>
      <x:c r="G5" s="161" t="str">
        <x:v>Process use</x:v>
      </x:c>
      <x:c r="H5" s="161" t="str">
        <x:v>GRAND area</x:v>
      </x:c>
      <x:c r="I5" s="161" t="str">
        <x:v>Applicability status</x:v>
      </x:c>
      <x:c r="J5" s="161" t="str">
        <x:v>Official source</x:v>
      </x:c>
      <x:c r="K5" s="161" t="str">
        <x:v>Local accepted reference</x:v>
      </x:c>
      <x:c r="L5" s="161" t="str">
        <x:v>Current revision / effectivity</x:v>
      </x:c>
      <x:c r="M5" s="161" t="str">
        <x:v>Delivery mode</x:v>
      </x:c>
      <x:c r="N5" s="161" t="str">
        <x:v>Local form owner</x:v>
      </x:c>
      <x:c r="O5" s="162" t="str">
        <x:v>Notes / differences</x:v>
      </x:c>
    </x:row>
    <x:row r="6">
      <x:c r="A6" s="56" t="str">
        <x:v>LBP</x:v>
      </x:c>
      <x:c r="B6" s="56" t="str">
        <x:v>LBP Form 1</x:v>
      </x:c>
      <x:c r="C6" s="56" t="str">
        <x:v>Budget of Expenditures and Sources of Financing</x:v>
      </x:c>
      <x:c r="D6" s="56" t="str">
        <x:v>Budget preparation</x:v>
      </x:c>
      <x:c r="E6" s="56" t="n">
        <x:v>1</x:v>
      </x:c>
      <x:c r="F6" s="56" t="str">
        <x:v>Local Finance Committee and Local Accountant; approved by LCE</x:v>
      </x:c>
      <x:c r="G6" s="56" t="str">
        <x:v>Annual budget preparation</x:v>
      </x:c>
      <x:c r="H6" s="56" t="str">
        <x:v>F3 annual budget / F9 reporting</x:v>
      </x:c>
      <x:c r="I6" s="62" t="str">
        <x:v>Candidate - confirm locally</x:v>
      </x:c>
      <x:c r="J6" s="56" t="str">
        <x:v>DBM BOM for LGUs, 2023</x:v>
      </x:c>
      <x:c r="K6" s="62" t="str"/>
      <x:c r="L6" s="62" t="str"/>
      <x:c r="M6" s="62" t="str"/>
      <x:c r="N6" s="62" t="str"/>
      <x:c r="O6" s="62" t="str"/>
    </x:row>
    <x:row r="7">
      <x:c r="A7" s="57" t="str">
        <x:v>LBP</x:v>
      </x:c>
      <x:c r="B7" s="57" t="str">
        <x:v>LBP Form 2</x:v>
      </x:c>
      <x:c r="C7" s="57" t="str">
        <x:v>Programmed Appropriation and Obligation by Object of Expenditure</x:v>
      </x:c>
      <x:c r="D7" s="57" t="str">
        <x:v>Budget preparation</x:v>
      </x:c>
      <x:c r="E7" s="57" t="n">
        <x:v>2</x:v>
      </x:c>
      <x:c r="F7" s="57" t="str">
        <x:v>Department Head; reviewed by LBO; approved by LCE</x:v>
      </x:c>
      <x:c r="G7" s="57" t="str">
        <x:v>Department proposal</x:v>
      </x:c>
      <x:c r="H7" s="57" t="str">
        <x:v>F3 annual budget</x:v>
      </x:c>
      <x:c r="I7" s="63" t="str">
        <x:v>Candidate - confirm locally</x:v>
      </x:c>
      <x:c r="J7" s="57" t="str">
        <x:v>DBM BOM for LGUs, 2023</x:v>
      </x:c>
      <x:c r="K7" s="63" t="str"/>
      <x:c r="L7" s="63" t="str"/>
      <x:c r="M7" s="63" t="str"/>
      <x:c r="N7" s="63" t="str"/>
      <x:c r="O7" s="63" t="str"/>
    </x:row>
    <x:row r="8">
      <x:c r="A8" s="57" t="str">
        <x:v>LBP</x:v>
      </x:c>
      <x:c r="B8" s="57" t="str">
        <x:v>LBP Form 3</x:v>
      </x:c>
      <x:c r="C8" s="57" t="str">
        <x:v>Plantilla of Personnel</x:v>
      </x:c>
      <x:c r="D8" s="57" t="str">
        <x:v>Budget preparation</x:v>
      </x:c>
      <x:c r="E8" s="57" t="n">
        <x:v>3</x:v>
      </x:c>
      <x:c r="F8" s="57" t="str">
        <x:v>HRMO; reviewed by LBO; approved by LCE</x:v>
      </x:c>
      <x:c r="G8" s="57" t="str">
        <x:v>Personnel proposal</x:v>
      </x:c>
      <x:c r="H8" s="57" t="str">
        <x:v>F3 annual budget</x:v>
      </x:c>
      <x:c r="I8" s="63" t="str">
        <x:v>Candidate - confirm locally</x:v>
      </x:c>
      <x:c r="J8" s="57" t="str">
        <x:v>DBM BOM for LGUs, 2023</x:v>
      </x:c>
      <x:c r="K8" s="63" t="str"/>
      <x:c r="L8" s="63" t="str"/>
      <x:c r="M8" s="63" t="str"/>
      <x:c r="N8" s="63" t="str"/>
      <x:c r="O8" s="63" t="str"/>
    </x:row>
    <x:row r="9">
      <x:c r="A9" s="57" t="str">
        <x:v>LBP</x:v>
      </x:c>
      <x:c r="B9" s="57" t="str">
        <x:v>LBP Form 4</x:v>
      </x:c>
      <x:c r="C9" s="57" t="str">
        <x:v>Mandate, Vision/Mission, Major Final Output, Performance Indicators and Targets by Department/Office</x:v>
      </x:c>
      <x:c r="D9" s="57" t="str">
        <x:v>Budget preparation</x:v>
      </x:c>
      <x:c r="E9" s="57" t="n">
        <x:v>4</x:v>
      </x:c>
      <x:c r="F9" s="57" t="str">
        <x:v>Department Head; reviewed by LFC; approved by LCE</x:v>
      </x:c>
      <x:c r="G9" s="57" t="str">
        <x:v>Performance-informed proposal</x:v>
      </x:c>
      <x:c r="H9" s="57" t="str">
        <x:v>F3 annual budget</x:v>
      </x:c>
      <x:c r="I9" s="63" t="str">
        <x:v>Candidate - confirm locally</x:v>
      </x:c>
      <x:c r="J9" s="57" t="str">
        <x:v>DBM BOM for LGUs, 2023</x:v>
      </x:c>
      <x:c r="K9" s="63" t="str"/>
      <x:c r="L9" s="63" t="str"/>
      <x:c r="M9" s="63" t="str"/>
      <x:c r="N9" s="63" t="str"/>
      <x:c r="O9" s="63" t="str"/>
    </x:row>
    <x:row r="10">
      <x:c r="A10" s="57" t="str">
        <x:v>LBP</x:v>
      </x:c>
      <x:c r="B10" s="57" t="str">
        <x:v>LBP Form 5</x:v>
      </x:c>
      <x:c r="C10" s="57" t="str">
        <x:v>Statement of Indebtedness</x:v>
      </x:c>
      <x:c r="D10" s="57" t="str">
        <x:v>Budget preparation</x:v>
      </x:c>
      <x:c r="E10" s="57" t="n">
        <x:v>5</x:v>
      </x:c>
      <x:c r="F10" s="57" t="str">
        <x:v>Local Accountant; noted by LCE</x:v>
      </x:c>
      <x:c r="G10" s="57" t="str">
        <x:v>Debt disclosure</x:v>
      </x:c>
      <x:c r="H10" s="57" t="str">
        <x:v>F3/F9</x:v>
      </x:c>
      <x:c r="I10" s="63" t="str">
        <x:v>Candidate - confirm locally</x:v>
      </x:c>
      <x:c r="J10" s="57" t="str">
        <x:v>DBM BOM for LGUs, 2023</x:v>
      </x:c>
      <x:c r="K10" s="63" t="str"/>
      <x:c r="L10" s="63" t="str"/>
      <x:c r="M10" s="63" t="str"/>
      <x:c r="N10" s="63" t="str"/>
      <x:c r="O10" s="63" t="str"/>
    </x:row>
    <x:row r="11">
      <x:c r="A11" s="57" t="str">
        <x:v>LBP</x:v>
      </x:c>
      <x:c r="B11" s="57" t="str">
        <x:v>LBP Form 6</x:v>
      </x:c>
      <x:c r="C11" s="57" t="str">
        <x:v>Statement of Statutory and Contractual Obligations and Budgetary Requirements</x:v>
      </x:c>
      <x:c r="D11" s="57" t="str">
        <x:v>Budget preparation</x:v>
      </x:c>
      <x:c r="E11" s="57" t="n">
        <x:v>6</x:v>
      </x:c>
      <x:c r="F11" s="57" t="str">
        <x:v>Local Finance Committee; approved by LCE</x:v>
      </x:c>
      <x:c r="G11" s="57" t="str">
        <x:v>Mandatory requirements</x:v>
      </x:c>
      <x:c r="H11" s="57" t="str">
        <x:v>F3 annual budget</x:v>
      </x:c>
      <x:c r="I11" s="63" t="str">
        <x:v>Candidate - confirm locally</x:v>
      </x:c>
      <x:c r="J11" s="57" t="str">
        <x:v>DBM BOM for LGUs, 2023</x:v>
      </x:c>
      <x:c r="K11" s="63" t="str"/>
      <x:c r="L11" s="63" t="str"/>
      <x:c r="M11" s="63" t="str"/>
      <x:c r="N11" s="63" t="str"/>
      <x:c r="O11" s="63" t="str"/>
    </x:row>
    <x:row r="12">
      <x:c r="A12" s="57" t="str">
        <x:v>LBP</x:v>
      </x:c>
      <x:c r="B12" s="57" t="str">
        <x:v>LBP Form 7</x:v>
      </x:c>
      <x:c r="C12" s="57" t="str">
        <x:v>Statement of Fund Allocation by Sector</x:v>
      </x:c>
      <x:c r="D12" s="57" t="str">
        <x:v>Budget preparation</x:v>
      </x:c>
      <x:c r="E12" s="57" t="n">
        <x:v>7</x:v>
      </x:c>
      <x:c r="F12" s="57" t="str">
        <x:v>Local Budget Officer; approved by LCE</x:v>
      </x:c>
      <x:c r="G12" s="57" t="str">
        <x:v>Sector allocation</x:v>
      </x:c>
      <x:c r="H12" s="57" t="str">
        <x:v>F3/F9</x:v>
      </x:c>
      <x:c r="I12" s="63" t="str">
        <x:v>Candidate - confirm locally</x:v>
      </x:c>
      <x:c r="J12" s="57" t="str">
        <x:v>DBM BOM for LGUs, 2023</x:v>
      </x:c>
      <x:c r="K12" s="63" t="str"/>
      <x:c r="L12" s="63" t="str"/>
      <x:c r="M12" s="63" t="str"/>
      <x:c r="N12" s="63" t="str"/>
      <x:c r="O12" s="63" t="str"/>
    </x:row>
    <x:row r="13">
      <x:c r="A13" s="57" t="str">
        <x:v>LBP</x:v>
      </x:c>
      <x:c r="B13" s="57" t="str">
        <x:v>LBP Form 8</x:v>
      </x:c>
      <x:c r="C13" s="57" t="str">
        <x:v>Statement of Funding Sources (Supplemental Budget)</x:v>
      </x:c>
      <x:c r="D13" s="57" t="str">
        <x:v>Supplemental budget</x:v>
      </x:c>
      <x:c r="E13" s="57" t="n">
        <x:v>8</x:v>
      </x:c>
      <x:c r="F13" s="57" t="str">
        <x:v>Local Treasurer and/or Local Accountant, depending on source</x:v>
      </x:c>
      <x:c r="G13" s="57" t="str">
        <x:v>Supplemental funding</x:v>
      </x:c>
      <x:c r="H13" s="57" t="str">
        <x:v>F3 budget adjustment</x:v>
      </x:c>
      <x:c r="I13" s="63" t="str">
        <x:v>Candidate - confirm locally</x:v>
      </x:c>
      <x:c r="J13" s="57" t="str">
        <x:v>DBM BOM for LGUs, 2023</x:v>
      </x:c>
      <x:c r="K13" s="63" t="str"/>
      <x:c r="L13" s="63" t="str"/>
      <x:c r="M13" s="63" t="str"/>
      <x:c r="N13" s="63" t="str"/>
      <x:c r="O13" s="63" t="str"/>
    </x:row>
    <x:row r="14">
      <x:c r="A14" s="57" t="str">
        <x:v>LBP</x:v>
      </x:c>
      <x:c r="B14" s="57" t="str">
        <x:v>LBP Form 9</x:v>
      </x:c>
      <x:c r="C14" s="57" t="str">
        <x:v>Statement of Supplemental Appropriation</x:v>
      </x:c>
      <x:c r="D14" s="57" t="str">
        <x:v>Supplemental budget</x:v>
      </x:c>
      <x:c r="E14" s="57" t="n">
        <x:v>9</x:v>
      </x:c>
      <x:c r="F14" s="57" t="str">
        <x:v>Local Budget Officer; approved by LCE</x:v>
      </x:c>
      <x:c r="G14" s="57" t="str">
        <x:v>Supplemental appropriation</x:v>
      </x:c>
      <x:c r="H14" s="57" t="str">
        <x:v>F3 budget adjustment</x:v>
      </x:c>
      <x:c r="I14" s="63" t="str">
        <x:v>Candidate - confirm locally</x:v>
      </x:c>
      <x:c r="J14" s="57" t="str">
        <x:v>DBM BOM for LGUs, 2023</x:v>
      </x:c>
      <x:c r="K14" s="63" t="str"/>
      <x:c r="L14" s="63" t="str"/>
      <x:c r="M14" s="63" t="str"/>
      <x:c r="N14" s="63" t="str"/>
      <x:c r="O14" s="63" t="str"/>
    </x:row>
    <x:row r="15">
      <x:c r="A15" s="57" t="str">
        <x:v>LBA</x:v>
      </x:c>
      <x:c r="B15" s="57" t="str">
        <x:v>LBA Form 1A</x:v>
      </x:c>
      <x:c r="C15" s="57" t="str">
        <x:v>Checklist of Documentary and Signature Requirements for Annual Budgets</x:v>
      </x:c>
      <x:c r="D15" s="57" t="str">
        <x:v>Budget authorization</x:v>
      </x:c>
      <x:c r="E15" s="57" t="n">
        <x:v>10</x:v>
      </x:c>
      <x:c r="F15" s="57" t="str">
        <x:v>Confirm from current manual and local route</x:v>
      </x:c>
      <x:c r="G15" s="57" t="str">
        <x:v>Annual budget enactment</x:v>
      </x:c>
      <x:c r="H15" s="57" t="str">
        <x:v>F3/F10</x:v>
      </x:c>
      <x:c r="I15" s="63" t="str">
        <x:v>Candidate - confirm locally</x:v>
      </x:c>
      <x:c r="J15" s="57" t="str">
        <x:v>DBM BOM for LGUs, 2023</x:v>
      </x:c>
      <x:c r="K15" s="63" t="str"/>
      <x:c r="L15" s="63" t="str"/>
      <x:c r="M15" s="63" t="str"/>
      <x:c r="N15" s="63" t="str"/>
      <x:c r="O15" s="63" t="str"/>
    </x:row>
    <x:row r="16">
      <x:c r="A16" s="57" t="str">
        <x:v>LBA</x:v>
      </x:c>
      <x:c r="B16" s="57" t="str">
        <x:v>LBA Form 1B</x:v>
      </x:c>
      <x:c r="C16" s="57" t="str">
        <x:v>Checklist of Documentary and Signature Requirements for Supplemental Budgets</x:v>
      </x:c>
      <x:c r="D16" s="57" t="str">
        <x:v>Budget authorization</x:v>
      </x:c>
      <x:c r="E16" s="57" t="n">
        <x:v>11</x:v>
      </x:c>
      <x:c r="F16" s="57" t="str">
        <x:v>Confirm from current manual and local route</x:v>
      </x:c>
      <x:c r="G16" s="57" t="str">
        <x:v>Supplemental budget enactment</x:v>
      </x:c>
      <x:c r="H16" s="57" t="str">
        <x:v>F3/F10</x:v>
      </x:c>
      <x:c r="I16" s="63" t="str">
        <x:v>Candidate - confirm locally</x:v>
      </x:c>
      <x:c r="J16" s="57" t="str">
        <x:v>DBM BOM for LGUs, 2023</x:v>
      </x:c>
      <x:c r="K16" s="63" t="str"/>
      <x:c r="L16" s="63" t="str"/>
      <x:c r="M16" s="63" t="str"/>
      <x:c r="N16" s="63" t="str"/>
      <x:c r="O16" s="63" t="str"/>
    </x:row>
    <x:row r="17">
      <x:c r="A17" s="57" t="str">
        <x:v>LBR</x:v>
      </x:c>
      <x:c r="B17" s="57" t="str">
        <x:v>LBR Form 1A</x:v>
      </x:c>
      <x:c r="C17" s="57" t="str">
        <x:v>Checklist of Documentary and Signature Requirements for Review of Annual Budgets</x:v>
      </x:c>
      <x:c r="D17" s="57" t="str">
        <x:v>Budget review</x:v>
      </x:c>
      <x:c r="E17" s="57" t="n">
        <x:v>12</x:v>
      </x:c>
      <x:c r="F17" s="57" t="str">
        <x:v>Reviewing authority; confirm current route</x:v>
      </x:c>
      <x:c r="G17" s="57" t="str">
        <x:v>Annual budget review</x:v>
      </x:c>
      <x:c r="H17" s="57" t="str">
        <x:v>F3/F10</x:v>
      </x:c>
      <x:c r="I17" s="63" t="str">
        <x:v>Candidate - confirm locally</x:v>
      </x:c>
      <x:c r="J17" s="57" t="str">
        <x:v>DBM BOM for LGUs, 2023</x:v>
      </x:c>
      <x:c r="K17" s="63" t="str"/>
      <x:c r="L17" s="63" t="str"/>
      <x:c r="M17" s="63" t="str"/>
      <x:c r="N17" s="63" t="str"/>
      <x:c r="O17" s="63" t="str"/>
    </x:row>
    <x:row r="18">
      <x:c r="A18" s="57" t="str">
        <x:v>LBR</x:v>
      </x:c>
      <x:c r="B18" s="57" t="str">
        <x:v>LBR Form 1B</x:v>
      </x:c>
      <x:c r="C18" s="57" t="str">
        <x:v>Checklist of Documentary and Signature Requirements for Review of Supplemental Budgets</x:v>
      </x:c>
      <x:c r="D18" s="57" t="str">
        <x:v>Budget review</x:v>
      </x:c>
      <x:c r="E18" s="57" t="n">
        <x:v>13</x:v>
      </x:c>
      <x:c r="F18" s="57" t="str">
        <x:v>Reviewing authority; confirm current route</x:v>
      </x:c>
      <x:c r="G18" s="57" t="str">
        <x:v>Supplemental budget review</x:v>
      </x:c>
      <x:c r="H18" s="57" t="str">
        <x:v>F3/F10</x:v>
      </x:c>
      <x:c r="I18" s="63" t="str">
        <x:v>Candidate - confirm locally</x:v>
      </x:c>
      <x:c r="J18" s="57" t="str">
        <x:v>DBM BOM for LGUs, 2023</x:v>
      </x:c>
      <x:c r="K18" s="63" t="str"/>
      <x:c r="L18" s="63" t="str"/>
      <x:c r="M18" s="63" t="str"/>
      <x:c r="N18" s="63" t="str"/>
      <x:c r="O18" s="63" t="str"/>
    </x:row>
    <x:row r="19">
      <x:c r="A19" s="57" t="str">
        <x:v>LBR</x:v>
      </x:c>
      <x:c r="B19" s="57" t="str">
        <x:v>LBR Form 2</x:v>
      </x:c>
      <x:c r="C19" s="57" t="str">
        <x:v>Summary of Findings and Recommended Review Actions</x:v>
      </x:c>
      <x:c r="D19" s="57" t="str">
        <x:v>Budget review</x:v>
      </x:c>
      <x:c r="E19" s="57" t="n">
        <x:v>14</x:v>
      </x:c>
      <x:c r="F19" s="57" t="str">
        <x:v>Reviewing authority; confirm current route</x:v>
      </x:c>
      <x:c r="G19" s="57" t="str">
        <x:v>Review findings</x:v>
      </x:c>
      <x:c r="H19" s="57" t="str">
        <x:v>F3/F10</x:v>
      </x:c>
      <x:c r="I19" s="63" t="str">
        <x:v>Candidate - confirm locally</x:v>
      </x:c>
      <x:c r="J19" s="57" t="str">
        <x:v>DBM BOM for LGUs, 2023</x:v>
      </x:c>
      <x:c r="K19" s="63" t="str"/>
      <x:c r="L19" s="63" t="str"/>
      <x:c r="M19" s="63" t="str"/>
      <x:c r="N19" s="63" t="str"/>
      <x:c r="O19" s="63" t="str"/>
    </x:row>
    <x:row r="20">
      <x:c r="A20" s="57" t="str">
        <x:v>LBR</x:v>
      </x:c>
      <x:c r="B20" s="57" t="str">
        <x:v>LBR Form 2A</x:v>
      </x:c>
      <x:c r="C20" s="57" t="str">
        <x:v>Total Personal Services Cost for Waived Items</x:v>
      </x:c>
      <x:c r="D20" s="57" t="str">
        <x:v>Budget review</x:v>
      </x:c>
      <x:c r="E20" s="57" t="n">
        <x:v>15</x:v>
      </x:c>
      <x:c r="F20" s="57" t="str">
        <x:v>Reviewing authority; confirm current route</x:v>
      </x:c>
      <x:c r="G20" s="57" t="str">
        <x:v>PS review</x:v>
      </x:c>
      <x:c r="H20" s="57" t="str">
        <x:v>F3/F10</x:v>
      </x:c>
      <x:c r="I20" s="63" t="str">
        <x:v>Candidate - confirm locally</x:v>
      </x:c>
      <x:c r="J20" s="57" t="str">
        <x:v>DBM BOM for LGUs, 2023</x:v>
      </x:c>
      <x:c r="K20" s="63" t="str"/>
      <x:c r="L20" s="63" t="str"/>
      <x:c r="M20" s="63" t="str"/>
      <x:c r="N20" s="63" t="str"/>
      <x:c r="O20" s="63" t="str"/>
    </x:row>
    <x:row r="21">
      <x:c r="A21" s="57" t="str">
        <x:v>LBR</x:v>
      </x:c>
      <x:c r="B21" s="57" t="str">
        <x:v>LBR Form 2B</x:v>
      </x:c>
      <x:c r="C21" s="57" t="str">
        <x:v>Determination on Personal Services Limitation Compliance</x:v>
      </x:c>
      <x:c r="D21" s="57" t="str">
        <x:v>Budget review</x:v>
      </x:c>
      <x:c r="E21" s="57" t="n">
        <x:v>16</x:v>
      </x:c>
      <x:c r="F21" s="57" t="str">
        <x:v>Reviewing authority; confirm current route</x:v>
      </x:c>
      <x:c r="G21" s="57" t="str">
        <x:v>PS limitation review</x:v>
      </x:c>
      <x:c r="H21" s="57" t="str">
        <x:v>F3/F10</x:v>
      </x:c>
      <x:c r="I21" s="63" t="str">
        <x:v>Candidate - confirm locally</x:v>
      </x:c>
      <x:c r="J21" s="57" t="str">
        <x:v>DBM BOM for LGUs, 2023</x:v>
      </x:c>
      <x:c r="K21" s="63" t="str"/>
      <x:c r="L21" s="63" t="str"/>
      <x:c r="M21" s="63" t="str"/>
      <x:c r="N21" s="63" t="str"/>
      <x:c r="O21" s="63" t="str"/>
    </x:row>
    <x:row r="22">
      <x:c r="A22" s="57" t="str">
        <x:v>LBE</x:v>
      </x:c>
      <x:c r="B22" s="57" t="str">
        <x:v>LBE Form 1</x:v>
      </x:c>
      <x:c r="C22" s="57" t="str">
        <x:v>Allotment Release Order for Personal Services</x:v>
      </x:c>
      <x:c r="D22" s="57" t="str">
        <x:v>Budget execution</x:v>
      </x:c>
      <x:c r="E22" s="57" t="n">
        <x:v>17</x:v>
      </x:c>
      <x:c r="F22" s="57" t="str">
        <x:v>LBO recommendation; LCE approval</x:v>
      </x:c>
      <x:c r="G22" s="57" t="str">
        <x:v>Allotment release</x:v>
      </x:c>
      <x:c r="H22" s="57" t="str">
        <x:v>F4 allotment control</x:v>
      </x:c>
      <x:c r="I22" s="63" t="str">
        <x:v>Candidate - confirm locally</x:v>
      </x:c>
      <x:c r="J22" s="57" t="str">
        <x:v>DBM BOM for LGUs, 2023</x:v>
      </x:c>
      <x:c r="K22" s="63" t="str"/>
      <x:c r="L22" s="63" t="str"/>
      <x:c r="M22" s="63" t="str"/>
      <x:c r="N22" s="63" t="str"/>
      <x:c r="O22" s="63" t="str"/>
    </x:row>
    <x:row r="23">
      <x:c r="A23" s="57" t="str">
        <x:v>LBE</x:v>
      </x:c>
      <x:c r="B23" s="57" t="str">
        <x:v>LBE Form 1A</x:v>
      </x:c>
      <x:c r="C23" s="57" t="str">
        <x:v>Allotment Release Order for MOOE</x:v>
      </x:c>
      <x:c r="D23" s="57" t="str">
        <x:v>Budget execution</x:v>
      </x:c>
      <x:c r="E23" s="57" t="n">
        <x:v>18</x:v>
      </x:c>
      <x:c r="F23" s="57" t="str">
        <x:v>LBO recommendation; LCE approval</x:v>
      </x:c>
      <x:c r="G23" s="57" t="str">
        <x:v>Allotment release</x:v>
      </x:c>
      <x:c r="H23" s="57" t="str">
        <x:v>F4 allotment control</x:v>
      </x:c>
      <x:c r="I23" s="63" t="str">
        <x:v>Candidate - confirm locally</x:v>
      </x:c>
      <x:c r="J23" s="57" t="str">
        <x:v>DBM BOM for LGUs, 2023</x:v>
      </x:c>
      <x:c r="K23" s="63" t="str"/>
      <x:c r="L23" s="63" t="str"/>
      <x:c r="M23" s="63" t="str"/>
      <x:c r="N23" s="63" t="str"/>
      <x:c r="O23" s="63" t="str"/>
    </x:row>
    <x:row r="24">
      <x:c r="A24" s="57" t="str">
        <x:v>LBE</x:v>
      </x:c>
      <x:c r="B24" s="57" t="str">
        <x:v>LBE Form 1B</x:v>
      </x:c>
      <x:c r="C24" s="57" t="str">
        <x:v>Allotment Release Order for Financial Expenses</x:v>
      </x:c>
      <x:c r="D24" s="57" t="str">
        <x:v>Budget execution</x:v>
      </x:c>
      <x:c r="E24" s="57" t="n">
        <x:v>19</x:v>
      </x:c>
      <x:c r="F24" s="57" t="str">
        <x:v>LBO recommendation; LCE approval</x:v>
      </x:c>
      <x:c r="G24" s="57" t="str">
        <x:v>Allotment release</x:v>
      </x:c>
      <x:c r="H24" s="57" t="str">
        <x:v>F4 allotment control</x:v>
      </x:c>
      <x:c r="I24" s="63" t="str">
        <x:v>Candidate - confirm locally</x:v>
      </x:c>
      <x:c r="J24" s="57" t="str">
        <x:v>DBM BOM for LGUs, 2023</x:v>
      </x:c>
      <x:c r="K24" s="63" t="str"/>
      <x:c r="L24" s="63" t="str"/>
      <x:c r="M24" s="63" t="str"/>
      <x:c r="N24" s="63" t="str"/>
      <x:c r="O24" s="63" t="str"/>
    </x:row>
    <x:row r="25">
      <x:c r="A25" s="57" t="str">
        <x:v>LBE</x:v>
      </x:c>
      <x:c r="B25" s="57" t="str">
        <x:v>LBE Form 1C</x:v>
      </x:c>
      <x:c r="C25" s="57" t="str">
        <x:v>Allotment Release Order for Capital Expenditures</x:v>
      </x:c>
      <x:c r="D25" s="57" t="str">
        <x:v>Budget execution</x:v>
      </x:c>
      <x:c r="E25" s="57" t="n">
        <x:v>20</x:v>
      </x:c>
      <x:c r="F25" s="57" t="str">
        <x:v>LBO recommendation; LCE approval</x:v>
      </x:c>
      <x:c r="G25" s="57" t="str">
        <x:v>Allotment release</x:v>
      </x:c>
      <x:c r="H25" s="57" t="str">
        <x:v>F4 allotment control</x:v>
      </x:c>
      <x:c r="I25" s="63" t="str">
        <x:v>Candidate - confirm locally</x:v>
      </x:c>
      <x:c r="J25" s="57" t="str">
        <x:v>DBM BOM for LGUs, 2023</x:v>
      </x:c>
      <x:c r="K25" s="63" t="str"/>
      <x:c r="L25" s="63" t="str"/>
      <x:c r="M25" s="63" t="str"/>
      <x:c r="N25" s="63" t="str"/>
      <x:c r="O25" s="63" t="str"/>
    </x:row>
    <x:row r="26">
      <x:c r="A26" s="57" t="str">
        <x:v>LBE</x:v>
      </x:c>
      <x:c r="B26" s="57" t="str">
        <x:v>LBE Form 2</x:v>
      </x:c>
      <x:c r="C26" s="57" t="str">
        <x:v>Augmentation Form</x:v>
      </x:c>
      <x:c r="D26" s="57" t="str">
        <x:v>Budget execution</x:v>
      </x:c>
      <x:c r="E26" s="57" t="n">
        <x:v>21</x:v>
      </x:c>
      <x:c r="F26" s="57" t="str">
        <x:v>Confirm authority, savings source, use, and local approval route</x:v>
      </x:c>
      <x:c r="G26" s="57" t="str">
        <x:v>Augmentation</x:v>
      </x:c>
      <x:c r="H26" s="57" t="str">
        <x:v>F4 adjustment control</x:v>
      </x:c>
      <x:c r="I26" s="63" t="str">
        <x:v>Candidate - confirm locally</x:v>
      </x:c>
      <x:c r="J26" s="57" t="str">
        <x:v>DBM BOM for LGUs, 2023</x:v>
      </x:c>
      <x:c r="K26" s="63" t="str"/>
      <x:c r="L26" s="63" t="str"/>
      <x:c r="M26" s="63" t="str"/>
      <x:c r="N26" s="63" t="str"/>
      <x:c r="O26" s="63" t="str"/>
    </x:row>
    <x:row r="27">
      <x:c r="A27" s="57" t="str">
        <x:v>LBE</x:v>
      </x:c>
      <x:c r="B27" s="57" t="str">
        <x:v>LBE Form 3</x:v>
      </x:c>
      <x:c r="C27" s="57" t="str">
        <x:v>Adjusted Receipts Program for Reenacted Appropriations</x:v>
      </x:c>
      <x:c r="D27" s="57" t="str">
        <x:v>Budget execution</x:v>
      </x:c>
      <x:c r="E27" s="57" t="n">
        <x:v>22</x:v>
      </x:c>
      <x:c r="F27" s="57" t="str">
        <x:v>Confirm from current manual and local route</x:v>
      </x:c>
      <x:c r="G27" s="57" t="str">
        <x:v>Reenacted budget</x:v>
      </x:c>
      <x:c r="H27" s="57" t="str">
        <x:v>F3/F4</x:v>
      </x:c>
      <x:c r="I27" s="63" t="str">
        <x:v>Candidate - confirm locally</x:v>
      </x:c>
      <x:c r="J27" s="57" t="str">
        <x:v>DBM BOM for LGUs, 2023</x:v>
      </x:c>
      <x:c r="K27" s="63" t="str"/>
      <x:c r="L27" s="63" t="str"/>
      <x:c r="M27" s="63" t="str"/>
      <x:c r="N27" s="63" t="str"/>
      <x:c r="O27" s="63" t="str"/>
    </x:row>
    <x:row r="28">
      <x:c r="A28" s="57" t="str">
        <x:v>LBE</x:v>
      </x:c>
      <x:c r="B28" s="57" t="str">
        <x:v>LBE Form 4</x:v>
      </x:c>
      <x:c r="C28" s="57" t="str">
        <x:v>Reenacted Appropriations of Annual/Supplemental Budgets</x:v>
      </x:c>
      <x:c r="D28" s="57" t="str">
        <x:v>Budget execution</x:v>
      </x:c>
      <x:c r="E28" s="57" t="n">
        <x:v>23</x:v>
      </x:c>
      <x:c r="F28" s="57" t="str">
        <x:v>Confirm from current manual and local route</x:v>
      </x:c>
      <x:c r="G28" s="57" t="str">
        <x:v>Reenacted budget</x:v>
      </x:c>
      <x:c r="H28" s="57" t="str">
        <x:v>F3/F4</x:v>
      </x:c>
      <x:c r="I28" s="63" t="str">
        <x:v>Candidate - confirm locally</x:v>
      </x:c>
      <x:c r="J28" s="57" t="str">
        <x:v>DBM BOM for LGUs, 2023</x:v>
      </x:c>
      <x:c r="K28" s="63" t="str"/>
      <x:c r="L28" s="63" t="str"/>
      <x:c r="M28" s="63" t="str"/>
      <x:c r="N28" s="63" t="str"/>
      <x:c r="O28" s="63" t="str"/>
    </x:row>
    <x:row r="29">
      <x:c r="A29" s="57" t="str">
        <x:v>LBE</x:v>
      </x:c>
      <x:c r="B29" s="57" t="str">
        <x:v>LBE Form 5</x:v>
      </x:c>
      <x:c r="C29" s="57" t="str">
        <x:v>Summary of Financial and Physical Performance Targets</x:v>
      </x:c>
      <x:c r="D29" s="57" t="str">
        <x:v>Budget execution</x:v>
      </x:c>
      <x:c r="E29" s="57" t="n">
        <x:v>24</x:v>
      </x:c>
      <x:c r="F29" s="57" t="str">
        <x:v>Confirm from current manual and local route</x:v>
      </x:c>
      <x:c r="G29" s="57" t="str">
        <x:v>Performance targets</x:v>
      </x:c>
      <x:c r="H29" s="57" t="str">
        <x:v>F3/F9</x:v>
      </x:c>
      <x:c r="I29" s="63" t="str">
        <x:v>Candidate - confirm locally</x:v>
      </x:c>
      <x:c r="J29" s="57" t="str">
        <x:v>DBM BOM for LGUs, 2023</x:v>
      </x:c>
      <x:c r="K29" s="63" t="str"/>
      <x:c r="L29" s="63" t="str"/>
      <x:c r="M29" s="63" t="str"/>
      <x:c r="N29" s="63" t="str"/>
      <x:c r="O29" s="63" t="str"/>
    </x:row>
    <x:row r="30">
      <x:c r="A30" s="57" t="str">
        <x:v>LBE</x:v>
      </x:c>
      <x:c r="B30" s="57" t="str">
        <x:v>LBE Form 5A</x:v>
      </x:c>
      <x:c r="C30" s="57" t="str">
        <x:v>Detailed Financial and Physical Performance Targets</x:v>
      </x:c>
      <x:c r="D30" s="57" t="str">
        <x:v>Budget execution</x:v>
      </x:c>
      <x:c r="E30" s="57" t="n">
        <x:v>25</x:v>
      </x:c>
      <x:c r="F30" s="57" t="str">
        <x:v>Confirm from current manual and local route</x:v>
      </x:c>
      <x:c r="G30" s="57" t="str">
        <x:v>Detailed targets</x:v>
      </x:c>
      <x:c r="H30" s="57" t="str">
        <x:v>F3/F9</x:v>
      </x:c>
      <x:c r="I30" s="63" t="str">
        <x:v>Candidate - confirm locally</x:v>
      </x:c>
      <x:c r="J30" s="57" t="str">
        <x:v>DBM BOM for LGUs, 2023</x:v>
      </x:c>
      <x:c r="K30" s="63" t="str"/>
      <x:c r="L30" s="63" t="str"/>
      <x:c r="M30" s="63" t="str"/>
      <x:c r="N30" s="63" t="str"/>
      <x:c r="O30" s="63" t="str"/>
    </x:row>
    <x:row r="31">
      <x:c r="A31" s="57" t="str">
        <x:v>LBAc</x:v>
      </x:c>
      <x:c r="B31" s="57" t="str">
        <x:v>LBAc Form 1</x:v>
      </x:c>
      <x:c r="C31" s="57" t="str">
        <x:v>Quarterly Report of Receipts</x:v>
      </x:c>
      <x:c r="D31" s="57" t="str">
        <x:v>Budget accountability</x:v>
      </x:c>
      <x:c r="E31" s="57" t="n">
        <x:v>26</x:v>
      </x:c>
      <x:c r="F31" s="57" t="str">
        <x:v>Local Treasurer prepares; Local Accountant certifies</x:v>
      </x:c>
      <x:c r="G31" s="57" t="str">
        <x:v>Quarterly receipts</x:v>
      </x:c>
      <x:c r="H31" s="57" t="str">
        <x:v>F9 accountability reports</x:v>
      </x:c>
      <x:c r="I31" s="63" t="str">
        <x:v>Candidate - confirm locally</x:v>
      </x:c>
      <x:c r="J31" s="57" t="str">
        <x:v>DBM BOM for LGUs, 2023</x:v>
      </x:c>
      <x:c r="K31" s="63" t="str"/>
      <x:c r="L31" s="63" t="str"/>
      <x:c r="M31" s="63" t="str"/>
      <x:c r="N31" s="63" t="str"/>
      <x:c r="O31" s="63" t="str"/>
    </x:row>
    <x:row r="32">
      <x:c r="A32" s="57" t="str">
        <x:v>LBAc</x:v>
      </x:c>
      <x:c r="B32" s="57" t="str">
        <x:v>LBAc Form 2</x:v>
      </x:c>
      <x:c r="C32" s="57" t="str">
        <x:v>Quarterly Financial Report of Operations</x:v>
      </x:c>
      <x:c r="D32" s="57" t="str">
        <x:v>Budget accountability</x:v>
      </x:c>
      <x:c r="E32" s="57" t="n">
        <x:v>27</x:v>
      </x:c>
      <x:c r="F32" s="57" t="str">
        <x:v>Confirm from current manual and local route</x:v>
      </x:c>
      <x:c r="G32" s="57" t="str">
        <x:v>Quarterly financial operations</x:v>
      </x:c>
      <x:c r="H32" s="57" t="str">
        <x:v>F9 accountability reports</x:v>
      </x:c>
      <x:c r="I32" s="63" t="str">
        <x:v>Candidate - confirm locally</x:v>
      </x:c>
      <x:c r="J32" s="57" t="str">
        <x:v>DBM BOM for LGUs, 2023</x:v>
      </x:c>
      <x:c r="K32" s="63" t="str"/>
      <x:c r="L32" s="63" t="str"/>
      <x:c r="M32" s="63" t="str"/>
      <x:c r="N32" s="63" t="str"/>
      <x:c r="O32" s="63" t="str"/>
    </x:row>
    <x:row r="33">
      <x:c r="A33" s="57" t="str">
        <x:v>LBAc</x:v>
      </x:c>
      <x:c r="B33" s="57" t="str">
        <x:v>LBAc Form 3</x:v>
      </x:c>
      <x:c r="C33" s="57" t="str">
        <x:v>Quarterly Physical Report of Operations</x:v>
      </x:c>
      <x:c r="D33" s="57" t="str">
        <x:v>Budget accountability</x:v>
      </x:c>
      <x:c r="E33" s="57" t="n">
        <x:v>28</x:v>
      </x:c>
      <x:c r="F33" s="57" t="str">
        <x:v>Confirm from current manual and local route</x:v>
      </x:c>
      <x:c r="G33" s="57" t="str">
        <x:v>Quarterly physical operations</x:v>
      </x:c>
      <x:c r="H33" s="57" t="str">
        <x:v>F9 accountability reports</x:v>
      </x:c>
      <x:c r="I33" s="63" t="str">
        <x:v>Candidate - confirm locally</x:v>
      </x:c>
      <x:c r="J33" s="57" t="str">
        <x:v>DBM BOM for LGUs, 2023</x:v>
      </x:c>
      <x:c r="K33" s="63" t="str"/>
      <x:c r="L33" s="63" t="str"/>
      <x:c r="M33" s="63" t="str"/>
      <x:c r="N33" s="63" t="str"/>
      <x:c r="O33" s="63" t="str"/>
    </x:row>
    <x:row r="34">
      <x:c r="A34" s="57" t="str">
        <x:v>LBAc</x:v>
      </x:c>
      <x:c r="B34" s="57" t="str">
        <x:v>LBAc Form 4</x:v>
      </x:c>
      <x:c r="C34" s="57" t="str">
        <x:v>Statement of Receipts and Expenditures</x:v>
      </x:c>
      <x:c r="D34" s="57" t="str">
        <x:v>Budget accountability</x:v>
      </x:c>
      <x:c r="E34" s="57" t="n">
        <x:v>29</x:v>
      </x:c>
      <x:c r="F34" s="57" t="str">
        <x:v>Local Treasurer and LBO prepare; Local Accountant certifies; LCE approves</x:v>
      </x:c>
      <x:c r="G34" s="57" t="str">
        <x:v>Annual receipts/expenditures</x:v>
      </x:c>
      <x:c r="H34" s="57" t="str">
        <x:v>F9 accountability reports</x:v>
      </x:c>
      <x:c r="I34" s="63" t="str">
        <x:v>Candidate - confirm locally</x:v>
      </x:c>
      <x:c r="J34" s="57" t="str">
        <x:v>DBM BOM for LGUs, 2023</x:v>
      </x:c>
      <x:c r="K34" s="63" t="str"/>
      <x:c r="L34" s="63" t="str"/>
      <x:c r="M34" s="63" t="str"/>
      <x:c r="N34" s="63" t="str"/>
      <x:c r="O34" s="63" t="str"/>
    </x:row>
    <x:row r="35">
      <x:c r="A35" s="57" t="str">
        <x:v>LBAc</x:v>
      </x:c>
      <x:c r="B35" s="57" t="str">
        <x:v>LBAc Form 5</x:v>
      </x:c>
      <x:c r="C35" s="57" t="str">
        <x:v>Physical and Financial Performance Evaluation Form</x:v>
      </x:c>
      <x:c r="D35" s="57" t="str">
        <x:v>Budget accountability</x:v>
      </x:c>
      <x:c r="E35" s="57" t="n">
        <x:v>30</x:v>
      </x:c>
      <x:c r="F35" s="57" t="str">
        <x:v>Confirm from current manual and local route</x:v>
      </x:c>
      <x:c r="G35" s="57" t="str">
        <x:v>Performance evaluation</x:v>
      </x:c>
      <x:c r="H35" s="57" t="str">
        <x:v>F9 accountability reports</x:v>
      </x:c>
      <x:c r="I35" s="63" t="str">
        <x:v>Candidate - confirm locally</x:v>
      </x:c>
      <x:c r="J35" s="57" t="str">
        <x:v>DBM BOM for LGUs, 2023</x:v>
      </x:c>
      <x:c r="K35" s="63" t="str"/>
      <x:c r="L35" s="63" t="str"/>
      <x:c r="M35" s="63" t="str"/>
      <x:c r="N35" s="63" t="str"/>
      <x:c r="O35" s="63" t="str"/>
    </x:row>
    <x:row r="36">
      <x:c r="A36" s="58" t="str">
        <x:v>LBAc</x:v>
      </x:c>
      <x:c r="B36" s="58" t="str">
        <x:v>LBAc Form 6</x:v>
      </x:c>
      <x:c r="C36" s="58" t="str">
        <x:v>Monitoring of Physical and Financial Accomplishments</x:v>
      </x:c>
      <x:c r="D36" s="58" t="str">
        <x:v>Budget accountability</x:v>
      </x:c>
      <x:c r="E36" s="58" t="n">
        <x:v>31</x:v>
      </x:c>
      <x:c r="F36" s="58" t="str">
        <x:v>Confirm from current manual and local route</x:v>
      </x:c>
      <x:c r="G36" s="58" t="str">
        <x:v>Accomplishment monitoring</x:v>
      </x:c>
      <x:c r="H36" s="58" t="str">
        <x:v>F9 accountability reports</x:v>
      </x:c>
      <x:c r="I36" s="64" t="str">
        <x:v>Candidate - confirm locally</x:v>
      </x:c>
      <x:c r="J36" s="58" t="str">
        <x:v>DBM BOM for LGUs, 2023</x:v>
      </x:c>
      <x:c r="K36" s="64" t="str"/>
      <x:c r="L36" s="64" t="str"/>
      <x:c r="M36" s="64" t="str"/>
      <x:c r="N36" s="64" t="str"/>
      <x:c r="O36" s="64" t="str"/>
    </x:row>
  </x:sheetData>
  <x:mergeCells>
    <x:mergeCell ref="A1:O1"/>
    <x:mergeCell ref="A2:O2"/>
  </x:mergeCells>
  <x:conditionalFormatting sqref="I6:I36">
    <x:cfRule type="containsText" dxfId="0" priority="1" operator="containsText" text="Accepted"/>
    <x:cfRule type="containsText" dxfId="1" priority="2" operator="containsText" text="Pass"/>
    <x:cfRule type="containsText" dxfId="2" priority="3" operator="containsText" text="Ready"/>
    <x:cfRule type="containsText" dxfId="3" priority="4" operator="containsText" text="Blocked"/>
    <x:cfRule type="containsText" dxfId="4" priority="5" operator="containsText" text="Fail"/>
  </x:conditionalFormatting>
  <x:dataValidations count="2">
    <x:dataValidation type="list" sqref="I6:I36">
      <x:formula1>"Candidate - confirm locally,Applicable - mapping,Practical testing,Accepted - local,Not applicable - documented"</x:formula1>
    </x:dataValidation>
    <x:dataValidation type="list" sqref="M6:M36">
      <x:formula1>"Print,Download,Both,Data-only / no local form,Confirm locally"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fca8033cc64d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5" hidden="0" customWidth="1"/>
    <x:col min="4" max="4" width="17" hidden="0" customWidth="1"/>
    <x:col min="5" max="5" width="35" hidden="0" customWidth="1"/>
    <x:col min="6" max="6" width="35" hidden="0" customWidth="1"/>
    <x:col min="7" max="7" width="34" hidden="0" customWidth="1"/>
    <x:col min="8" max="8" width="28" hidden="0" customWidth="1"/>
    <x:col min="9" max="9" width="30" hidden="0" customWidth="1"/>
    <x:col min="10" max="10" width="20" hidden="0" customWidth="1"/>
    <x:col min="11" max="11" width="28" hidden="0" customWidth="1"/>
    <x:col min="12" max="12" width="28" hidden="0" customWidth="1"/>
    <x:col min="13" max="13" width="26" hidden="0" customWidth="1"/>
    <x:col min="14" max="14" width="14" hidden="0" customWidth="1"/>
    <x:col min="15" max="15" width="36" hidden="0" customWidth="1"/>
  </x:cols>
  <x:sheetData>
    <x:row r="1" ht="30" customHeight="1">
      <x:c r="A1" s="146" t="str">
        <x:v>Candidate field mapping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</x:row>
    <x:row r="2" ht="34" customHeight="1">
      <x:c r="A2" s="147" t="str">
        <x:v>Representative rows are starters, not executable template rules. Add, edit, or remove rows only through the locally governed form-intake process, then retain the accepted mapping version in GRAND.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</x:row>
    <x:row r="3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  <x:c r="M3" s="148"/>
      <x:c r="N3" s="148"/>
      <x:c r="O3" s="148"/>
    </x:row>
    <x:row r="4">
      <x:c r="A4" s="148"/>
      <x:c r="B4" s="148"/>
      <x:c r="C4" s="148"/>
      <x:c r="D4" s="148"/>
      <x:c r="E4" s="148"/>
      <x:c r="F4" s="148"/>
      <x:c r="G4" s="148"/>
      <x:c r="H4" s="148"/>
      <x:c r="I4" s="148"/>
      <x:c r="J4" s="148"/>
      <x:c r="K4" s="148"/>
      <x:c r="L4" s="148"/>
      <x:c r="M4" s="148"/>
      <x:c r="N4" s="148"/>
      <x:c r="O4" s="148"/>
    </x:row>
    <x:row r="5" ht="32" customHeight="1">
      <x:c r="A5" s="160" t="str">
        <x:v>Form</x:v>
      </x:c>
      <x:c r="B5" s="161" t="str">
        <x:v>Section</x:v>
      </x:c>
      <x:c r="C5" s="161" t="str">
        <x:v>Field / column group</x:v>
      </x:c>
      <x:c r="D5" s="161" t="str">
        <x:v>Requirement type</x:v>
      </x:c>
      <x:c r="E5" s="161" t="str">
        <x:v>GRAND data source</x:v>
      </x:c>
      <x:c r="F5" s="161" t="str">
        <x:v>Transformation / display rule</x:v>
      </x:c>
      <x:c r="G5" s="161" t="str">
        <x:v>Control total / validation</x:v>
      </x:c>
      <x:c r="H5" s="161" t="str">
        <x:v>Owner / custody</x:v>
      </x:c>
      <x:c r="I5" s="161" t="str">
        <x:v>Print / page behavior</x:v>
      </x:c>
      <x:c r="J5" s="161" t="str">
        <x:v>Mapping status</x:v>
      </x:c>
      <x:c r="K5" s="161" t="str">
        <x:v>Accepted local field label</x:v>
      </x:c>
      <x:c r="L5" s="161" t="str">
        <x:v>Decision / evidence ref</x:v>
      </x:c>
      <x:c r="M5" s="161" t="str">
        <x:v>Sample result</x:v>
      </x:c>
      <x:c r="N5" s="161" t="str">
        <x:v>Mapping row ID</x:v>
      </x:c>
      <x:c r="O5" s="162" t="str">
        <x:v>Notes</x:v>
      </x:c>
    </x:row>
    <x:row r="6">
      <x:c r="A6" s="56" t="str">
        <x:v>LBP Form 4</x:v>
      </x:c>
      <x:c r="B6" s="56" t="str">
        <x:v>Header</x:v>
      </x:c>
      <x:c r="C6" s="56" t="str">
        <x:v>LGU name; department/office; fiscal year</x:v>
      </x:c>
      <x:c r="D6" s="56" t="str">
        <x:v>Required</x:v>
      </x:c>
      <x:c r="E6" s="56" t="str">
        <x:v>Finance Setup + annual budget cycle</x:v>
      </x:c>
      <x:c r="F6" s="56" t="str">
        <x:v>Use pinned fiscal-year and department labels</x:v>
      </x:c>
      <x:c r="G6" s="56" t="str">
        <x:v>Identity must match accepted form</x:v>
      </x:c>
      <x:c r="H6" s="56" t="str">
        <x:v>Budget / requesting office</x:v>
      </x:c>
      <x:c r="I6" s="56" t="str">
        <x:v>Header stays on every page</x:v>
      </x:c>
      <x:c r="J6" s="62" t="str">
        <x:v>Starter - verify</x:v>
      </x:c>
      <x:c r="K6" s="62" t="str"/>
      <x:c r="L6" s="62" t="str"/>
      <x:c r="M6" s="62" t="str"/>
      <x:c r="N6" s="56" t="str">
        <x:v>MAP-001</x:v>
      </x:c>
      <x:c r="O6" s="62" t="str"/>
    </x:row>
    <x:row r="7">
      <x:c r="A7" s="57" t="str">
        <x:v>LBP Form 4</x:v>
      </x:c>
      <x:c r="B7" s="57" t="str">
        <x:v>Narrative</x:v>
      </x:c>
      <x:c r="C7" s="57" t="str">
        <x:v>Mandate; vision; mission; organizational outcome</x:v>
      </x:c>
      <x:c r="D7" s="57" t="str">
        <x:v>Required</x:v>
      </x:c>
      <x:c r="E7" s="57" t="str">
        <x:v>Department proposal narrative</x:v>
      </x:c>
      <x:c r="F7" s="57" t="str">
        <x:v>Preserve approved text version</x:v>
      </x:c>
      <x:c r="G7" s="57" t="str">
        <x:v>No inferred text</x:v>
      </x:c>
      <x:c r="H7" s="57" t="str">
        <x:v>Department Head</x:v>
      </x:c>
      <x:c r="I7" s="57" t="str">
        <x:v>Allow readable continuation</x:v>
      </x:c>
      <x:c r="J7" s="63" t="str">
        <x:v>Starter - verify</x:v>
      </x:c>
      <x:c r="K7" s="63" t="str"/>
      <x:c r="L7" s="63" t="str"/>
      <x:c r="M7" s="63" t="str"/>
      <x:c r="N7" s="57" t="str">
        <x:v>MAP-002</x:v>
      </x:c>
      <x:c r="O7" s="63" t="str"/>
    </x:row>
    <x:row r="8">
      <x:c r="A8" s="57" t="str">
        <x:v>LBP Form 4</x:v>
      </x:c>
      <x:c r="B8" s="57" t="str">
        <x:v>Repeating table</x:v>
      </x:c>
      <x:c r="C8" s="57" t="str">
        <x:v>AIP reference; PPA; MFO; performance indicator; target</x:v>
      </x:c>
      <x:c r="D8" s="57" t="str">
        <x:v>Repeating</x:v>
      </x:c>
      <x:c r="E8" s="57" t="str">
        <x:v>Annual budget proposal and AIP mapping</x:v>
      </x:c>
      <x:c r="F8" s="57" t="str">
        <x:v>One row per accepted target</x:v>
      </x:c>
      <x:c r="G8" s="57" t="str">
        <x:v>Row count and AIP references reconcile</x:v>
      </x:c>
      <x:c r="H8" s="57" t="str">
        <x:v>Department + Budget</x:v>
      </x:c>
      <x:c r="I8" s="57" t="str">
        <x:v>Repeat headings; avoid split rows</x:v>
      </x:c>
      <x:c r="J8" s="63" t="str">
        <x:v>Starter - verify</x:v>
      </x:c>
      <x:c r="K8" s="63" t="str"/>
      <x:c r="L8" s="63" t="str"/>
      <x:c r="M8" s="63" t="str"/>
      <x:c r="N8" s="57" t="str">
        <x:v>MAP-003</x:v>
      </x:c>
      <x:c r="O8" s="63" t="str"/>
    </x:row>
    <x:row r="9">
      <x:c r="A9" s="57" t="str">
        <x:v>LBP Form 4</x:v>
      </x:c>
      <x:c r="B9" s="57" t="str">
        <x:v>Repeating table</x:v>
      </x:c>
      <x:c r="C9" s="57" t="str">
        <x:v>PS; MOOE; FE; CO; total</x:v>
      </x:c>
      <x:c r="D9" s="57" t="str">
        <x:v>Repeating</x:v>
      </x:c>
      <x:c r="E9" s="57" t="str">
        <x:v>Classified proposal amounts</x:v>
      </x:c>
      <x:c r="F9" s="57" t="str">
        <x:v>Use accepted classification mapping</x:v>
      </x:c>
      <x:c r="G9" s="57" t="str">
        <x:v>Total = PS + MOOE + FE + CO</x:v>
      </x:c>
      <x:c r="H9" s="57" t="str">
        <x:v>Budget</x:v>
      </x:c>
      <x:c r="I9" s="57" t="str">
        <x:v>Accounting amount format</x:v>
      </x:c>
      <x:c r="J9" s="63" t="str">
        <x:v>Starter - verify</x:v>
      </x:c>
      <x:c r="K9" s="63" t="str"/>
      <x:c r="L9" s="63" t="str"/>
      <x:c r="M9" s="63" t="str"/>
      <x:c r="N9" s="57" t="str">
        <x:v>MAP-004</x:v>
      </x:c>
      <x:c r="O9" s="63" t="str"/>
    </x:row>
    <x:row r="10">
      <x:c r="A10" s="57" t="str">
        <x:v>LBP Form 4</x:v>
      </x:c>
      <x:c r="B10" s="57" t="str">
        <x:v>Certification</x:v>
      </x:c>
      <x:c r="C10" s="57" t="str">
        <x:v>Prepared, reviewed, approved names/titles/dates</x:v>
      </x:c>
      <x:c r="D10" s="57" t="str">
        <x:v>Conditional</x:v>
      </x:c>
      <x:c r="E10" s="57" t="str">
        <x:v>Wet-signature custody evidence</x:v>
      </x:c>
      <x:c r="F10" s="57" t="str">
        <x:v>Render blank or accepted signatory names per local rule</x:v>
      </x:c>
      <x:c r="G10" s="57" t="str">
        <x:v>Never imply digital signature</x:v>
      </x:c>
      <x:c r="H10" s="57" t="str">
        <x:v>Department / LFC / LCE</x:v>
      </x:c>
      <x:c r="I10" s="57" t="str">
        <x:v>Preserve signature space</x:v>
      </x:c>
      <x:c r="J10" s="63" t="str">
        <x:v>Starter - verify</x:v>
      </x:c>
      <x:c r="K10" s="63" t="str"/>
      <x:c r="L10" s="63" t="str"/>
      <x:c r="M10" s="63" t="str"/>
      <x:c r="N10" s="57" t="str">
        <x:v>MAP-005</x:v>
      </x:c>
      <x:c r="O10" s="63" t="str"/>
    </x:row>
    <x:row r="11">
      <x:c r="A11" s="57" t="str">
        <x:v>LBE Form 1 family</x:v>
      </x:c>
      <x:c r="B11" s="57" t="str">
        <x:v>Header</x:v>
      </x:c>
      <x:c r="C11" s="57" t="str">
        <x:v>Appropriation source; FY; LGU; fund; department; purpose</x:v>
      </x:c>
      <x:c r="D11" s="57" t="str">
        <x:v>Required</x:v>
      </x:c>
      <x:c r="E11" s="57" t="str">
        <x:v>Adopted budget and allotment plan</x:v>
      </x:c>
      <x:c r="F11" s="57" t="str">
        <x:v>Pin authority and source version</x:v>
      </x:c>
      <x:c r="G11" s="57" t="str">
        <x:v>Source must be active and applicable</x:v>
      </x:c>
      <x:c r="H11" s="57" t="str">
        <x:v>Budget</x:v>
      </x:c>
      <x:c r="I11" s="57" t="str">
        <x:v>Header stays on every page</x:v>
      </x:c>
      <x:c r="J11" s="63" t="str">
        <x:v>Starter - verify</x:v>
      </x:c>
      <x:c r="K11" s="63" t="str"/>
      <x:c r="L11" s="63" t="str"/>
      <x:c r="M11" s="63" t="str"/>
      <x:c r="N11" s="57" t="str">
        <x:v>MAP-006</x:v>
      </x:c>
      <x:c r="O11" s="63" t="str"/>
    </x:row>
    <x:row r="12">
      <x:c r="A12" s="57" t="str">
        <x:v>LBE Form 1 family</x:v>
      </x:c>
      <x:c r="B12" s="57" t="str">
        <x:v>Repeating table</x:v>
      </x:c>
      <x:c r="C12" s="57" t="str">
        <x:v>PPA code/description; account; authorized appropriation</x:v>
      </x:c>
      <x:c r="D12" s="57" t="str">
        <x:v>Repeating</x:v>
      </x:c>
      <x:c r="E12" s="57" t="str">
        <x:v>Appropriation and classification records</x:v>
      </x:c>
      <x:c r="F12" s="57" t="str">
        <x:v>Use exact accepted codes</x:v>
      </x:c>
      <x:c r="G12" s="57" t="str">
        <x:v>No release above available authority</x:v>
      </x:c>
      <x:c r="H12" s="57" t="str">
        <x:v>Budget</x:v>
      </x:c>
      <x:c r="I12" s="57" t="str">
        <x:v>Repeat headings</x:v>
      </x:c>
      <x:c r="J12" s="63" t="str">
        <x:v>Starter - verify</x:v>
      </x:c>
      <x:c r="K12" s="63" t="str"/>
      <x:c r="L12" s="63" t="str"/>
      <x:c r="M12" s="63" t="str"/>
      <x:c r="N12" s="57" t="str">
        <x:v>MAP-007</x:v>
      </x:c>
      <x:c r="O12" s="63" t="str"/>
    </x:row>
    <x:row r="13">
      <x:c r="A13" s="57" t="str">
        <x:v>LBE Form 1 family</x:v>
      </x:c>
      <x:c r="B13" s="57" t="str">
        <x:v>Repeating table</x:v>
      </x:c>
      <x:c r="C13" s="57" t="str">
        <x:v>Later release; previous release; this release</x:v>
      </x:c>
      <x:c r="D13" s="57" t="str">
        <x:v>Repeating</x:v>
      </x:c>
      <x:c r="E13" s="57" t="str">
        <x:v>Allotment movement register</x:v>
      </x:c>
      <x:c r="F13" s="57" t="str">
        <x:v>Calculate from posted movements</x:v>
      </x:c>
      <x:c r="G13" s="57" t="str">
        <x:v>This + previous + later = authorized amount</x:v>
      </x:c>
      <x:c r="H13" s="57" t="str">
        <x:v>Budget</x:v>
      </x:c>
      <x:c r="I13" s="57" t="str">
        <x:v>Accounting amount format</x:v>
      </x:c>
      <x:c r="J13" s="63" t="str">
        <x:v>Starter - verify</x:v>
      </x:c>
      <x:c r="K13" s="63" t="str"/>
      <x:c r="L13" s="63" t="str"/>
      <x:c r="M13" s="63" t="str"/>
      <x:c r="N13" s="57" t="str">
        <x:v>MAP-008</x:v>
      </x:c>
      <x:c r="O13" s="63" t="str"/>
    </x:row>
    <x:row r="14">
      <x:c r="A14" s="57" t="str">
        <x:v>LBE Form 1 family</x:v>
      </x:c>
      <x:c r="B14" s="57" t="str">
        <x:v>Footer</x:v>
      </x:c>
      <x:c r="C14" s="57" t="str">
        <x:v>Amount in words; notes; recommendation; approval; ARO number/date/page</x:v>
      </x:c>
      <x:c r="D14" s="57" t="str">
        <x:v>Required</x:v>
      </x:c>
      <x:c r="E14" s="57" t="str">
        <x:v>Approved movement + wet-signature custody</x:v>
      </x:c>
      <x:c r="F14" s="57" t="str">
        <x:v>Generate amount in words only after local test</x:v>
      </x:c>
      <x:c r="G14" s="57" t="str">
        <x:v>Pinned movement and print checksum</x:v>
      </x:c>
      <x:c r="H14" s="57" t="str">
        <x:v>Budget / LCE</x:v>
      </x:c>
      <x:c r="I14" s="57" t="str">
        <x:v>Preserve form stock and signatures</x:v>
      </x:c>
      <x:c r="J14" s="63" t="str">
        <x:v>Starter - verify</x:v>
      </x:c>
      <x:c r="K14" s="63" t="str"/>
      <x:c r="L14" s="63" t="str"/>
      <x:c r="M14" s="63" t="str"/>
      <x:c r="N14" s="57" t="str">
        <x:v>MAP-009</x:v>
      </x:c>
      <x:c r="O14" s="63" t="str"/>
    </x:row>
    <x:row r="15">
      <x:c r="A15" s="57" t="str">
        <x:v>LBAc Form 1</x:v>
      </x:c>
      <x:c r="B15" s="57" t="str">
        <x:v>Header</x:v>
      </x:c>
      <x:c r="C15" s="57" t="str">
        <x:v>Quarter; FY; LGU; fund</x:v>
      </x:c>
      <x:c r="D15" s="57" t="str">
        <x:v>Required</x:v>
      </x:c>
      <x:c r="E15" s="57" t="str">
        <x:v>Report run parameters</x:v>
      </x:c>
      <x:c r="F15" s="57" t="str">
        <x:v>Pin exact period and filters</x:v>
      </x:c>
      <x:c r="G15" s="57" t="str">
        <x:v>Quarter agrees with source ledger</x:v>
      </x:c>
      <x:c r="H15" s="57" t="str">
        <x:v>Treasury</x:v>
      </x:c>
      <x:c r="I15" s="57" t="str">
        <x:v>Repeat header</x:v>
      </x:c>
      <x:c r="J15" s="63" t="str">
        <x:v>Starter - verify</x:v>
      </x:c>
      <x:c r="K15" s="63" t="str"/>
      <x:c r="L15" s="63" t="str"/>
      <x:c r="M15" s="63" t="str"/>
      <x:c r="N15" s="57" t="str">
        <x:v>MAP-010</x:v>
      </x:c>
      <x:c r="O15" s="63" t="str"/>
    </x:row>
    <x:row r="16">
      <x:c r="A16" s="57" t="str">
        <x:v>LBAc Form 1</x:v>
      </x:c>
      <x:c r="B16" s="57" t="str">
        <x:v>Repeating table</x:v>
      </x:c>
      <x:c r="C16" s="57" t="str">
        <x:v>Account title/code; estimates prior/current/to-date</x:v>
      </x:c>
      <x:c r="D16" s="57" t="str">
        <x:v>Repeating</x:v>
      </x:c>
      <x:c r="E16" s="57" t="str">
        <x:v>Revenue estimates and classifications</x:v>
      </x:c>
      <x:c r="F16" s="57" t="str">
        <x:v>Map only accepted account codes</x:v>
      </x:c>
      <x:c r="G16" s="57" t="str">
        <x:v>Estimate roll-forward check</x:v>
      </x:c>
      <x:c r="H16" s="57" t="str">
        <x:v>Treasury / Budget</x:v>
      </x:c>
      <x:c r="I16" s="57" t="str">
        <x:v>Repeat headings</x:v>
      </x:c>
      <x:c r="J16" s="63" t="str">
        <x:v>Starter - verify</x:v>
      </x:c>
      <x:c r="K16" s="63" t="str"/>
      <x:c r="L16" s="63" t="str"/>
      <x:c r="M16" s="63" t="str"/>
      <x:c r="N16" s="57" t="str">
        <x:v>MAP-011</x:v>
      </x:c>
      <x:c r="O16" s="63" t="str"/>
    </x:row>
    <x:row r="17">
      <x:c r="A17" s="57" t="str">
        <x:v>LBAc Form 1</x:v>
      </x:c>
      <x:c r="B17" s="57" t="str">
        <x:v>Repeating table</x:v>
      </x:c>
      <x:c r="C17" s="57" t="str">
        <x:v>Actual monthly/to-date; variance amount/%; remarks</x:v>
      </x:c>
      <x:c r="D17" s="57" t="str">
        <x:v>Repeating</x:v>
      </x:c>
      <x:c r="E17" s="57" t="str">
        <x:v>Posted receipt evidence</x:v>
      </x:c>
      <x:c r="F17" s="57" t="str">
        <x:v>Use posted, period-locked transactions</x:v>
      </x:c>
      <x:c r="G17" s="57" t="str">
        <x:v>Variance formula and zero-denominator handling</x:v>
      </x:c>
      <x:c r="H17" s="57" t="str">
        <x:v>Treasury / Accounting</x:v>
      </x:c>
      <x:c r="I17" s="57" t="str">
        <x:v>Accounting amount and percent formats</x:v>
      </x:c>
      <x:c r="J17" s="63" t="str">
        <x:v>Starter - verify</x:v>
      </x:c>
      <x:c r="K17" s="63" t="str"/>
      <x:c r="L17" s="63" t="str"/>
      <x:c r="M17" s="63" t="str"/>
      <x:c r="N17" s="57" t="str">
        <x:v>MAP-012</x:v>
      </x:c>
      <x:c r="O17" s="63" t="str"/>
    </x:row>
    <x:row r="18">
      <x:c r="A18" s="57" t="str">
        <x:v>LBAc Form 1</x:v>
      </x:c>
      <x:c r="B18" s="57" t="str">
        <x:v>Certification</x:v>
      </x:c>
      <x:c r="C18" s="57" t="str">
        <x:v>Treasurer prepared; Accountant certified; deadline note</x:v>
      </x:c>
      <x:c r="D18" s="57" t="str">
        <x:v>Required</x:v>
      </x:c>
      <x:c r="E18" s="57" t="str">
        <x:v>Wet-signature and submission evidence</x:v>
      </x:c>
      <x:c r="F18" s="57" t="str">
        <x:v>Keep signature/custody references separate</x:v>
      </x:c>
      <x:c r="G18" s="57" t="str">
        <x:v>Never imply digital signature</x:v>
      </x:c>
      <x:c r="H18" s="57" t="str">
        <x:v>Treasury / Accounting</x:v>
      </x:c>
      <x:c r="I18" s="57" t="str">
        <x:v>Preserve signature space</x:v>
      </x:c>
      <x:c r="J18" s="63" t="str">
        <x:v>Starter - verify</x:v>
      </x:c>
      <x:c r="K18" s="63" t="str"/>
      <x:c r="L18" s="63" t="str"/>
      <x:c r="M18" s="63" t="str"/>
      <x:c r="N18" s="57" t="str">
        <x:v>MAP-013</x:v>
      </x:c>
      <x:c r="O18" s="63" t="str"/>
    </x:row>
    <x:row r="19">
      <x:c r="A19" s="57" t="str">
        <x:v>LBAc Form 2</x:v>
      </x:c>
      <x:c r="B19" s="57" t="str">
        <x:v>Repeating table</x:v>
      </x:c>
      <x:c r="C19" s="57" t="str">
        <x:v>MFO/PPA; unit; continuing/current appropriations; total</x:v>
      </x:c>
      <x:c r="D19" s="57" t="str">
        <x:v>Repeating</x:v>
      </x:c>
      <x:c r="E19" s="57" t="str">
        <x:v>Appropriation registry</x:v>
      </x:c>
      <x:c r="F19" s="57" t="str">
        <x:v>Use approved report mapping</x:v>
      </x:c>
      <x:c r="G19" s="57" t="str">
        <x:v>Continuing + current = total</x:v>
      </x:c>
      <x:c r="H19" s="57" t="str">
        <x:v>Budget</x:v>
      </x:c>
      <x:c r="I19" s="57" t="str">
        <x:v>Repeat headings</x:v>
      </x:c>
      <x:c r="J19" s="63" t="str">
        <x:v>Starter - verify</x:v>
      </x:c>
      <x:c r="K19" s="63" t="str"/>
      <x:c r="L19" s="63" t="str"/>
      <x:c r="M19" s="63" t="str"/>
      <x:c r="N19" s="57" t="str">
        <x:v>MAP-014</x:v>
      </x:c>
      <x:c r="O19" s="63" t="str"/>
    </x:row>
    <x:row r="20">
      <x:c r="A20" s="57" t="str">
        <x:v>LBAc Form 2</x:v>
      </x:c>
      <x:c r="B20" s="57" t="str">
        <x:v>Repeating table</x:v>
      </x:c>
      <x:c r="C20" s="57" t="str">
        <x:v>Previous/current/total allotment; balance</x:v>
      </x:c>
      <x:c r="D20" s="57" t="str">
        <x:v>Repeating</x:v>
      </x:c>
      <x:c r="E20" s="57" t="str">
        <x:v>Posted allotment movements</x:v>
      </x:c>
      <x:c r="F20" s="57" t="str">
        <x:v>Calculate from movement register</x:v>
      </x:c>
      <x:c r="G20" s="57" t="str">
        <x:v>Appropriation less allotment = balance</x:v>
      </x:c>
      <x:c r="H20" s="57" t="str">
        <x:v>Budget</x:v>
      </x:c>
      <x:c r="I20" s="57" t="str">
        <x:v>Accounting amount format</x:v>
      </x:c>
      <x:c r="J20" s="63" t="str">
        <x:v>Starter - verify</x:v>
      </x:c>
      <x:c r="K20" s="63" t="str"/>
      <x:c r="L20" s="63" t="str"/>
      <x:c r="M20" s="63" t="str"/>
      <x:c r="N20" s="57" t="str">
        <x:v>MAP-015</x:v>
      </x:c>
      <x:c r="O20" s="63" t="str"/>
    </x:row>
    <x:row r="21">
      <x:c r="A21" s="57" t="str">
        <x:v>LBAc Form 2</x:v>
      </x:c>
      <x:c r="B21" s="57" t="str">
        <x:v>Repeating table</x:v>
      </x:c>
      <x:c r="C21" s="57" t="str">
        <x:v>Previous/current/total obligations; unobligated; remarks</x:v>
      </x:c>
      <x:c r="D21" s="57" t="str">
        <x:v>Repeating</x:v>
      </x:c>
      <x:c r="E21" s="57" t="str">
        <x:v>Certified obligation registry</x:v>
      </x:c>
      <x:c r="F21" s="57" t="str">
        <x:v>Use posted/certified status per accepted policy</x:v>
      </x:c>
      <x:c r="G21" s="57" t="str">
        <x:v>Allotment less obligation = unobligated</x:v>
      </x:c>
      <x:c r="H21" s="57" t="str">
        <x:v>Budget</x:v>
      </x:c>
      <x:c r="I21" s="57" t="str">
        <x:v>Accounting amount format</x:v>
      </x:c>
      <x:c r="J21" s="63" t="str">
        <x:v>Starter - verify</x:v>
      </x:c>
      <x:c r="K21" s="63" t="str"/>
      <x:c r="L21" s="63" t="str"/>
      <x:c r="M21" s="63" t="str"/>
      <x:c r="N21" s="57" t="str">
        <x:v>MAP-016</x:v>
      </x:c>
      <x:c r="O21" s="63" t="str"/>
    </x:row>
    <x:row r="22">
      <x:c r="A22" s="57" t="str">
        <x:v>LBAc Form 3</x:v>
      </x:c>
      <x:c r="B22" s="57" t="str">
        <x:v>Repeating table</x:v>
      </x:c>
      <x:c r="C22" s="57" t="str">
        <x:v>PPA/MFO/indicator; quarterly targets and total</x:v>
      </x:c>
      <x:c r="D22" s="57" t="str">
        <x:v>Repeating</x:v>
      </x:c>
      <x:c r="E22" s="57" t="str">
        <x:v>Accepted performance plan</x:v>
      </x:c>
      <x:c r="F22" s="57" t="str">
        <x:v>Pin performance-plan version</x:v>
      </x:c>
      <x:c r="G22" s="57" t="str">
        <x:v>Quarterly targets sum to total</x:v>
      </x:c>
      <x:c r="H22" s="57" t="str">
        <x:v>Department / Budget</x:v>
      </x:c>
      <x:c r="I22" s="57" t="str">
        <x:v>Repeat headings</x:v>
      </x:c>
      <x:c r="J22" s="63" t="str">
        <x:v>Starter - verify</x:v>
      </x:c>
      <x:c r="K22" s="63" t="str"/>
      <x:c r="L22" s="63" t="str"/>
      <x:c r="M22" s="63" t="str"/>
      <x:c r="N22" s="57" t="str">
        <x:v>MAP-017</x:v>
      </x:c>
      <x:c r="O22" s="63" t="str"/>
    </x:row>
    <x:row r="23">
      <x:c r="A23" s="57" t="str">
        <x:v>LBAc Form 3</x:v>
      </x:c>
      <x:c r="B23" s="57" t="str">
        <x:v>Repeating table</x:v>
      </x:c>
      <x:c r="C23" s="57" t="str">
        <x:v>Quarterly actual and total; variance; remarks</x:v>
      </x:c>
      <x:c r="D23" s="57" t="str">
        <x:v>Repeating</x:v>
      </x:c>
      <x:c r="E23" s="57" t="str">
        <x:v>Department accomplishment evidence</x:v>
      </x:c>
      <x:c r="F23" s="57" t="str">
        <x:v>Retain evidence reference</x:v>
      </x:c>
      <x:c r="G23" s="57" t="str">
        <x:v>Actual/variance calculation verified</x:v>
      </x:c>
      <x:c r="H23" s="57" t="str">
        <x:v>Department / Budget</x:v>
      </x:c>
      <x:c r="I23" s="57" t="str">
        <x:v>Readable remarks</x:v>
      </x:c>
      <x:c r="J23" s="63" t="str">
        <x:v>Starter - verify</x:v>
      </x:c>
      <x:c r="K23" s="63" t="str"/>
      <x:c r="L23" s="63" t="str"/>
      <x:c r="M23" s="63" t="str"/>
      <x:c r="N23" s="57" t="str">
        <x:v>MAP-018</x:v>
      </x:c>
      <x:c r="O23" s="63" t="str"/>
    </x:row>
    <x:row r="24">
      <x:c r="A24" s="57" t="str">
        <x:v>LBAc Form 4</x:v>
      </x:c>
      <x:c r="B24" s="57" t="str">
        <x:v>Receipts section</x:v>
      </x:c>
      <x:c r="C24" s="57" t="str">
        <x:v>Estimate; actual; amount and percentage variance</x:v>
      </x:c>
      <x:c r="D24" s="57" t="str">
        <x:v>Repeating</x:v>
      </x:c>
      <x:c r="E24" s="57" t="str">
        <x:v>Posted receipts + approved estimates</x:v>
      </x:c>
      <x:c r="F24" s="57" t="str">
        <x:v>Pin period and mapping</x:v>
      </x:c>
      <x:c r="G24" s="57" t="str">
        <x:v>Receipts subtotal and variance checks</x:v>
      </x:c>
      <x:c r="H24" s="57" t="str">
        <x:v>Treasury / Accounting</x:v>
      </x:c>
      <x:c r="I24" s="57" t="str">
        <x:v>Accounting amount/percent formats</x:v>
      </x:c>
      <x:c r="J24" s="63" t="str">
        <x:v>Starter - verify</x:v>
      </x:c>
      <x:c r="K24" s="63" t="str"/>
      <x:c r="L24" s="63" t="str"/>
      <x:c r="M24" s="63" t="str"/>
      <x:c r="N24" s="57" t="str">
        <x:v>MAP-019</x:v>
      </x:c>
      <x:c r="O24" s="63" t="str"/>
    </x:row>
    <x:row r="25">
      <x:c r="A25" s="57" t="str">
        <x:v>LBAc Form 4</x:v>
      </x:c>
      <x:c r="B25" s="57" t="str">
        <x:v>Expenditures section</x:v>
      </x:c>
      <x:c r="C25" s="57" t="str">
        <x:v>Estimate; actual; amount and percentage variance</x:v>
      </x:c>
      <x:c r="D25" s="57" t="str">
        <x:v>Repeating</x:v>
      </x:c>
      <x:c r="E25" s="57" t="str">
        <x:v>Posted expenditure evidence</x:v>
      </x:c>
      <x:c r="F25" s="57" t="str">
        <x:v>Pin period and mapping</x:v>
      </x:c>
      <x:c r="G25" s="57" t="str">
        <x:v>Expenditure subtotal and variance checks</x:v>
      </x:c>
      <x:c r="H25" s="57" t="str">
        <x:v>Budget / Accounting</x:v>
      </x:c>
      <x:c r="I25" s="57" t="str">
        <x:v>Accounting amount/percent formats</x:v>
      </x:c>
      <x:c r="J25" s="63" t="str">
        <x:v>Starter - verify</x:v>
      </x:c>
      <x:c r="K25" s="63" t="str"/>
      <x:c r="L25" s="63" t="str"/>
      <x:c r="M25" s="63" t="str"/>
      <x:c r="N25" s="57" t="str">
        <x:v>MAP-020</x:v>
      </x:c>
      <x:c r="O25" s="63" t="str"/>
    </x:row>
    <x:row r="26">
      <x:c r="A26" s="57" t="str">
        <x:v>LBAc Form 4</x:v>
      </x:c>
      <x:c r="B26" s="57" t="str">
        <x:v>Certification</x:v>
      </x:c>
      <x:c r="C26" s="57" t="str">
        <x:v>Treasurer and LBO prepare; Accountant certifies; LCE approves</x:v>
      </x:c>
      <x:c r="D26" s="57" t="str">
        <x:v>Required</x:v>
      </x:c>
      <x:c r="E26" s="57" t="str">
        <x:v>Wet-signature custody evidence</x:v>
      </x:c>
      <x:c r="F26" s="57" t="str">
        <x:v>Use accepted local route</x:v>
      </x:c>
      <x:c r="G26" s="57" t="str">
        <x:v>Never imply digital signature</x:v>
      </x:c>
      <x:c r="H26" s="57" t="str">
        <x:v>Budget / Treasury / Accounting / LCE</x:v>
      </x:c>
      <x:c r="I26" s="57" t="str">
        <x:v>Preserve signature space</x:v>
      </x:c>
      <x:c r="J26" s="63" t="str">
        <x:v>Starter - verify</x:v>
      </x:c>
      <x:c r="K26" s="63" t="str"/>
      <x:c r="L26" s="63" t="str"/>
      <x:c r="M26" s="63" t="str"/>
      <x:c r="N26" s="57" t="str">
        <x:v>MAP-021</x:v>
      </x:c>
      <x:c r="O26" s="63" t="str"/>
    </x:row>
    <x:row r="27">
      <x:c r="A27" s="57" t="str">
        <x:v>LBAc Form 5</x:v>
      </x:c>
      <x:c r="B27" s="57" t="str">
        <x:v>Physical section</x:v>
      </x:c>
      <x:c r="C27" s="57" t="str">
        <x:v>PPA/MFO; target; actual; variance; percent</x:v>
      </x:c>
      <x:c r="D27" s="57" t="str">
        <x:v>Repeating</x:v>
      </x:c>
      <x:c r="E27" s="57" t="str">
        <x:v>Performance target and accomplishment</x:v>
      </x:c>
      <x:c r="F27" s="57" t="str">
        <x:v>Pin accepted source</x:v>
      </x:c>
      <x:c r="G27" s="57" t="str">
        <x:v>Physical variance check</x:v>
      </x:c>
      <x:c r="H27" s="57" t="str">
        <x:v>Department / Budget</x:v>
      </x:c>
      <x:c r="I27" s="57" t="str">
        <x:v>Repeat headings</x:v>
      </x:c>
      <x:c r="J27" s="63" t="str">
        <x:v>Starter - verify</x:v>
      </x:c>
      <x:c r="K27" s="63" t="str"/>
      <x:c r="L27" s="63" t="str"/>
      <x:c r="M27" s="63" t="str"/>
      <x:c r="N27" s="57" t="str">
        <x:v>MAP-022</x:v>
      </x:c>
      <x:c r="O27" s="63" t="str"/>
    </x:row>
    <x:row r="28">
      <x:c r="A28" s="57" t="str">
        <x:v>LBAc Form 5</x:v>
      </x:c>
      <x:c r="B28" s="57" t="str">
        <x:v>Financial section</x:v>
      </x:c>
      <x:c r="C28" s="57" t="str">
        <x:v>Allotment; obligations; variance; absorptive capacity</x:v>
      </x:c>
      <x:c r="D28" s="57" t="str">
        <x:v>Repeating</x:v>
      </x:c>
      <x:c r="E28" s="57" t="str">
        <x:v>Allotment and obligation registries</x:v>
      </x:c>
      <x:c r="F28" s="57" t="str">
        <x:v>Use posted movements</x:v>
      </x:c>
      <x:c r="G28" s="57" t="str">
        <x:v>Financial variance/capacity checks</x:v>
      </x:c>
      <x:c r="H28" s="57" t="str">
        <x:v>Budget</x:v>
      </x:c>
      <x:c r="I28" s="57" t="str">
        <x:v>Accounting amount/percent formats</x:v>
      </x:c>
      <x:c r="J28" s="63" t="str">
        <x:v>Starter - verify</x:v>
      </x:c>
      <x:c r="K28" s="63" t="str"/>
      <x:c r="L28" s="63" t="str"/>
      <x:c r="M28" s="63" t="str"/>
      <x:c r="N28" s="57" t="str">
        <x:v>MAP-023</x:v>
      </x:c>
      <x:c r="O28" s="63" t="str"/>
    </x:row>
    <x:row r="29">
      <x:c r="A29" s="57" t="str">
        <x:v>LBAc Form 6</x:v>
      </x:c>
      <x:c r="B29" s="57" t="str">
        <x:v>Repeating table</x:v>
      </x:c>
      <x:c r="C29" s="57" t="str">
        <x:v>Plan/PPA; AIP reference; office; AIP/AB target</x:v>
      </x:c>
      <x:c r="D29" s="57" t="str">
        <x:v>Repeating</x:v>
      </x:c>
      <x:c r="E29" s="57" t="str">
        <x:v>AIP, annual budget, department master</x:v>
      </x:c>
      <x:c r="F29" s="57" t="str">
        <x:v>Pin accepted versions</x:v>
      </x:c>
      <x:c r="G29" s="57" t="str">
        <x:v>AIP and AB references reconcile</x:v>
      </x:c>
      <x:c r="H29" s="57" t="str">
        <x:v>Department / Budget</x:v>
      </x:c>
      <x:c r="I29" s="57" t="str">
        <x:v>Repeat headings</x:v>
      </x:c>
      <x:c r="J29" s="63" t="str">
        <x:v>Starter - verify</x:v>
      </x:c>
      <x:c r="K29" s="63" t="str"/>
      <x:c r="L29" s="63" t="str"/>
      <x:c r="M29" s="63" t="str"/>
      <x:c r="N29" s="57" t="str">
        <x:v>MAP-024</x:v>
      </x:c>
      <x:c r="O29" s="63" t="str"/>
    </x:row>
    <x:row r="30">
      <x:c r="A30" s="58" t="str">
        <x:v>LBAc Form 6</x:v>
      </x:c>
      <x:c r="B30" s="58" t="str">
        <x:v>Repeating table</x:v>
      </x:c>
      <x:c r="C30" s="58" t="str">
        <x:v>Actual accomplishment; AIP/AB estimate; actual expenditures; remarks</x:v>
      </x:c>
      <x:c r="D30" s="58" t="str">
        <x:v>Repeating</x:v>
      </x:c>
      <x:c r="E30" s="58" t="str">
        <x:v>Accomplishment evidence and posted ledger</x:v>
      </x:c>
      <x:c r="F30" s="58" t="str">
        <x:v>Link evidence without copying confidential files</x:v>
      </x:c>
      <x:c r="G30" s="58" t="str">
        <x:v>Amounts and accomplishments tie to sources</x:v>
      </x:c>
      <x:c r="H30" s="58" t="str">
        <x:v>Department / Budget / Accounting</x:v>
      </x:c>
      <x:c r="I30" s="58" t="str">
        <x:v>Readable remarks</x:v>
      </x:c>
      <x:c r="J30" s="64" t="str">
        <x:v>Starter - verify</x:v>
      </x:c>
      <x:c r="K30" s="64" t="str"/>
      <x:c r="L30" s="64" t="str"/>
      <x:c r="M30" s="64" t="str"/>
      <x:c r="N30" s="58" t="str">
        <x:v>MAP-025</x:v>
      </x:c>
      <x:c r="O30" s="64" t="str"/>
    </x:row>
  </x:sheetData>
  <x:mergeCells>
    <x:mergeCell ref="A1:O1"/>
    <x:mergeCell ref="A2:O2"/>
  </x:mergeCells>
  <x:conditionalFormatting sqref="J6:J30">
    <x:cfRule type="containsText" dxfId="5" priority="1" operator="containsText" text="Accepted"/>
    <x:cfRule type="containsText" dxfId="6" priority="2" operator="containsText" text="Pass"/>
    <x:cfRule type="containsText" dxfId="7" priority="3" operator="containsText" text="Ready"/>
    <x:cfRule type="containsText" dxfId="8" priority="4" operator="containsText" text="Blocked"/>
    <x:cfRule type="containsText" dxfId="9" priority="5" operator="containsText" text="Fail"/>
  </x:conditionalFormatting>
  <x:dataValidations count="2">
    <x:dataValidation type="list" sqref="D6:D30">
      <x:formula1>"Required,Optional,Conditional,Repeating"</x:formula1>
    </x:dataValidation>
    <x:dataValidation type="list" sqref="J6:J30">
      <x:formula1>"Starter - verify,Mapped - review,Trial passed,Accepted - local,Not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490321211d40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6" hidden="0" customWidth="1"/>
    <x:col min="4" max="4" width="32" hidden="0" customWidth="1"/>
    <x:col min="5" max="5" width="48" hidden="0" customWidth="1"/>
    <x:col min="6" max="6" width="23" hidden="0" customWidth="1"/>
    <x:col min="7" max="7" width="24" hidden="0" customWidth="1"/>
    <x:col min="8" max="8" width="42" hidden="0" customWidth="1"/>
    <x:col min="9" max="9" width="23" hidden="0" customWidth="1"/>
    <x:col min="10" max="10" width="24" hidden="0" customWidth="1"/>
    <x:col min="11" max="11" width="32" hidden="0" customWidth="1"/>
    <x:col min="12" max="12" width="42" hidden="0" customWidth="1"/>
    <x:col min="13" max="13" width="25" hidden="0" customWidth="1"/>
    <x:col min="14" max="14" width="25" hidden="0" customWidth="1"/>
    <x:col min="15" max="15" width="34" hidden="0" customWidth="1"/>
  </x:cols>
  <x:sheetData>
    <x:row r="1" ht="30" customHeight="1">
      <x:c r="A1" s="146" t="str">
        <x:v>COA documentary-rule intake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</x:row>
    <x:row r="2" ht="34" customHeight="1">
      <x:c r="A2" s="147" t="str">
        <x:v>Populate exact current requirements only after transaction-specific verification against COA Circular No. 2023-004, its annexes/amendments, and applicable local authority. Placeholder rows deliberately do not invent requirements.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</x:row>
    <x:row r="3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  <x:c r="M3" s="148"/>
      <x:c r="N3" s="148"/>
      <x:c r="O3" s="148"/>
    </x:row>
    <x:row r="4">
      <x:c r="A4" s="148"/>
      <x:c r="B4" s="148"/>
      <x:c r="C4" s="148"/>
      <x:c r="D4" s="148"/>
      <x:c r="E4" s="148"/>
      <x:c r="F4" s="148"/>
      <x:c r="G4" s="148"/>
      <x:c r="H4" s="148"/>
      <x:c r="I4" s="148"/>
      <x:c r="J4" s="148"/>
      <x:c r="K4" s="148"/>
      <x:c r="L4" s="148"/>
      <x:c r="M4" s="148"/>
      <x:c r="N4" s="148"/>
      <x:c r="O4" s="148"/>
    </x:row>
    <x:row r="5" ht="32" customHeight="1">
      <x:c r="A5" s="160" t="str">
        <x:v>Rule ID</x:v>
      </x:c>
      <x:c r="B5" s="161" t="str">
        <x:v>Transaction variant</x:v>
      </x:c>
      <x:c r="C5" s="161" t="str">
        <x:v>Payee / claimant class</x:v>
      </x:c>
      <x:c r="D5" s="161" t="str">
        <x:v>Condition</x:v>
      </x:c>
      <x:c r="E5" s="161" t="str">
        <x:v>Exact requirement</x:v>
      </x:c>
      <x:c r="F5" s="161" t="str">
        <x:v>Original / certified / other</x:v>
      </x:c>
      <x:c r="G5" s="161" t="str">
        <x:v>Responsible office</x:v>
      </x:c>
      <x:c r="H5" s="161" t="str">
        <x:v>Official source / exact section</x:v>
      </x:c>
      <x:c r="I5" s="161" t="str">
        <x:v>Effectivity / amendment</x:v>
      </x:c>
      <x:c r="J5" s="161" t="str">
        <x:v>Current applicability</x:v>
      </x:c>
      <x:c r="K5" s="161" t="str">
        <x:v>Waiver / exception authority</x:v>
      </x:c>
      <x:c r="L5" s="161" t="str">
        <x:v>Return message</x:v>
      </x:c>
      <x:c r="M5" s="161" t="str">
        <x:v>Local decision ref</x:v>
      </x:c>
      <x:c r="N5" s="161" t="str">
        <x:v>Evidence ref</x:v>
      </x:c>
      <x:c r="O5" s="162" t="str">
        <x:v>Notes</x:v>
      </x:c>
    </x:row>
    <x:row r="6">
      <x:c r="A6" s="56" t="str">
        <x:v>DOC-001</x:v>
      </x:c>
      <x:c r="B6" s="56" t="str">
        <x:v>Ordinary supplier payment</x:v>
      </x:c>
      <x:c r="C6" s="62" t="str">
        <x:v>Enter claimant/payee class</x:v>
      </x:c>
      <x:c r="D6" s="62" t="str">
        <x:v>Enter precise condition</x:v>
      </x:c>
      <x:c r="E6" s="62" t="str">
        <x:v>Enter exact currently applicable requirement after verification</x:v>
      </x:c>
      <x:c r="F6" s="62" t="str">
        <x:v>Confirm document form</x:v>
      </x:c>
      <x:c r="G6" s="62" t="str">
        <x:v>Enter responsible office</x:v>
      </x:c>
      <x:c r="H6" s="62" t="str">
        <x:v>COA Circular No. 2023-004 — exact annex/section to be entered</x:v>
      </x:c>
      <x:c r="I6" s="62" t="str">
        <x:v>Enter effectivity/amendment</x:v>
      </x:c>
      <x:c r="J6" s="62" t="str">
        <x:v>To be extracted/confirmed</x:v>
      </x:c>
      <x:c r="K6" s="62" t="str">
        <x:v>Enter exception authority, if any</x:v>
      </x:c>
      <x:c r="L6" s="62" t="str">
        <x:v>Enter plain-language return message</x:v>
      </x:c>
      <x:c r="M6" s="62" t="str"/>
      <x:c r="N6" s="62" t="str"/>
      <x:c r="O6" s="62" t="str"/>
    </x:row>
    <x:row r="7">
      <x:c r="A7" s="57" t="str">
        <x:v>DOC-002</x:v>
      </x:c>
      <x:c r="B7" s="57" t="str">
        <x:v>Payroll and personnel claim</x:v>
      </x:c>
      <x:c r="C7" s="63" t="str">
        <x:v>Enter claimant/payee class</x:v>
      </x:c>
      <x:c r="D7" s="63" t="str">
        <x:v>Enter precise condition</x:v>
      </x:c>
      <x:c r="E7" s="63" t="str">
        <x:v>Enter exact currently applicable requirement after verification</x:v>
      </x:c>
      <x:c r="F7" s="63" t="str">
        <x:v>Confirm document form</x:v>
      </x:c>
      <x:c r="G7" s="63" t="str">
        <x:v>Enter responsible office</x:v>
      </x:c>
      <x:c r="H7" s="63" t="str">
        <x:v>COA Circular No. 2023-004 — exact annex/section to be entered</x:v>
      </x:c>
      <x:c r="I7" s="63" t="str">
        <x:v>Enter effectivity/amendment</x:v>
      </x:c>
      <x:c r="J7" s="63" t="str">
        <x:v>To be extracted/confirmed</x:v>
      </x:c>
      <x:c r="K7" s="63" t="str">
        <x:v>Enter exception authority, if any</x:v>
      </x:c>
      <x:c r="L7" s="63" t="str">
        <x:v>Enter plain-language return message</x:v>
      </x:c>
      <x:c r="M7" s="63" t="str"/>
      <x:c r="N7" s="63" t="str"/>
      <x:c r="O7" s="63" t="str"/>
    </x:row>
    <x:row r="8">
      <x:c r="A8" s="57" t="str">
        <x:v>DOC-003</x:v>
      </x:c>
      <x:c r="B8" s="57" t="str">
        <x:v>Reimbursement</x:v>
      </x:c>
      <x:c r="C8" s="63" t="str">
        <x:v>Enter claimant/payee class</x:v>
      </x:c>
      <x:c r="D8" s="63" t="str">
        <x:v>Enter precise condition</x:v>
      </x:c>
      <x:c r="E8" s="63" t="str">
        <x:v>Enter exact currently applicable requirement after verification</x:v>
      </x:c>
      <x:c r="F8" s="63" t="str">
        <x:v>Confirm document form</x:v>
      </x:c>
      <x:c r="G8" s="63" t="str">
        <x:v>Enter responsible office</x:v>
      </x:c>
      <x:c r="H8" s="63" t="str">
        <x:v>COA Circular No. 2023-004 — exact annex/section to be entered</x:v>
      </x:c>
      <x:c r="I8" s="63" t="str">
        <x:v>Enter effectivity/amendment</x:v>
      </x:c>
      <x:c r="J8" s="63" t="str">
        <x:v>To be extracted/confirmed</x:v>
      </x:c>
      <x:c r="K8" s="63" t="str">
        <x:v>Enter exception authority, if any</x:v>
      </x:c>
      <x:c r="L8" s="63" t="str">
        <x:v>Enter plain-language return message</x:v>
      </x:c>
      <x:c r="M8" s="63" t="str"/>
      <x:c r="N8" s="63" t="str"/>
      <x:c r="O8" s="63" t="str"/>
    </x:row>
    <x:row r="9">
      <x:c r="A9" s="57" t="str">
        <x:v>DOC-004</x:v>
      </x:c>
      <x:c r="B9" s="57" t="str">
        <x:v>Cash advance and liquidation</x:v>
      </x:c>
      <x:c r="C9" s="63" t="str">
        <x:v>Enter claimant/payee class</x:v>
      </x:c>
      <x:c r="D9" s="63" t="str">
        <x:v>Enter precise condition</x:v>
      </x:c>
      <x:c r="E9" s="63" t="str">
        <x:v>Enter exact currently applicable requirement after verification</x:v>
      </x:c>
      <x:c r="F9" s="63" t="str">
        <x:v>Confirm document form</x:v>
      </x:c>
      <x:c r="G9" s="63" t="str">
        <x:v>Enter responsible office</x:v>
      </x:c>
      <x:c r="H9" s="63" t="str">
        <x:v>COA Circular No. 2023-004 — exact annex/section to be entered</x:v>
      </x:c>
      <x:c r="I9" s="63" t="str">
        <x:v>Enter effectivity/amendment</x:v>
      </x:c>
      <x:c r="J9" s="63" t="str">
        <x:v>To be extracted/confirmed</x:v>
      </x:c>
      <x:c r="K9" s="63" t="str">
        <x:v>Enter exception authority, if any</x:v>
      </x:c>
      <x:c r="L9" s="63" t="str">
        <x:v>Enter plain-language return message</x:v>
      </x:c>
      <x:c r="M9" s="63" t="str"/>
      <x:c r="N9" s="63" t="str"/>
      <x:c r="O9" s="63" t="str"/>
    </x:row>
    <x:row r="10">
      <x:c r="A10" s="57" t="str">
        <x:v>DOC-005</x:v>
      </x:c>
      <x:c r="B10" s="57" t="str">
        <x:v>Procurement-related claim</x:v>
      </x:c>
      <x:c r="C10" s="63" t="str">
        <x:v>Enter claimant/payee class</x:v>
      </x:c>
      <x:c r="D10" s="63" t="str">
        <x:v>Enter precise condition</x:v>
      </x:c>
      <x:c r="E10" s="63" t="str">
        <x:v>Enter exact currently applicable requirement after verification</x:v>
      </x:c>
      <x:c r="F10" s="63" t="str">
        <x:v>Confirm document form</x:v>
      </x:c>
      <x:c r="G10" s="63" t="str">
        <x:v>Enter responsible office</x:v>
      </x:c>
      <x:c r="H10" s="63" t="str">
        <x:v>COA Circular No. 2023-004 — exact annex/section to be entered</x:v>
      </x:c>
      <x:c r="I10" s="63" t="str">
        <x:v>Enter effectivity/amendment</x:v>
      </x:c>
      <x:c r="J10" s="63" t="str">
        <x:v>To be extracted/confirmed</x:v>
      </x:c>
      <x:c r="K10" s="63" t="str">
        <x:v>Enter exception authority, if any</x:v>
      </x:c>
      <x:c r="L10" s="63" t="str">
        <x:v>Enter plain-language return message</x:v>
      </x:c>
      <x:c r="M10" s="63" t="str"/>
      <x:c r="N10" s="63" t="str"/>
      <x:c r="O10" s="63" t="str"/>
    </x:row>
    <x:row r="11">
      <x:c r="A11" s="57" t="str">
        <x:v>DOC-006</x:v>
      </x:c>
      <x:c r="B11" s="57" t="str">
        <x:v>Infrastructure / progress billing</x:v>
      </x:c>
      <x:c r="C11" s="63" t="str">
        <x:v>Enter claimant/payee class</x:v>
      </x:c>
      <x:c r="D11" s="63" t="str">
        <x:v>Enter precise condition</x:v>
      </x:c>
      <x:c r="E11" s="63" t="str">
        <x:v>Enter exact currently applicable requirement after verification</x:v>
      </x:c>
      <x:c r="F11" s="63" t="str">
        <x:v>Confirm document form</x:v>
      </x:c>
      <x:c r="G11" s="63" t="str">
        <x:v>Enter responsible office</x:v>
      </x:c>
      <x:c r="H11" s="63" t="str">
        <x:v>COA Circular No. 2023-004 — exact annex/section to be entered</x:v>
      </x:c>
      <x:c r="I11" s="63" t="str">
        <x:v>Enter effectivity/amendment</x:v>
      </x:c>
      <x:c r="J11" s="63" t="str">
        <x:v>To be extracted/confirmed</x:v>
      </x:c>
      <x:c r="K11" s="63" t="str">
        <x:v>Enter exception authority, if any</x:v>
      </x:c>
      <x:c r="L11" s="63" t="str">
        <x:v>Enter plain-language return message</x:v>
      </x:c>
      <x:c r="M11" s="63" t="str"/>
      <x:c r="N11" s="63" t="str"/>
      <x:c r="O11" s="63" t="str"/>
    </x:row>
    <x:row r="12">
      <x:c r="A12" s="57" t="str">
        <x:v>DOC-007</x:v>
      </x:c>
      <x:c r="B12" s="57" t="str">
        <x:v>Utilities</x:v>
      </x:c>
      <x:c r="C12" s="63" t="str">
        <x:v>Enter claimant/payee class</x:v>
      </x:c>
      <x:c r="D12" s="63" t="str">
        <x:v>Enter precise condition</x:v>
      </x:c>
      <x:c r="E12" s="63" t="str">
        <x:v>Enter exact currently applicable requirement after verification</x:v>
      </x:c>
      <x:c r="F12" s="63" t="str">
        <x:v>Confirm document form</x:v>
      </x:c>
      <x:c r="G12" s="63" t="str">
        <x:v>Enter responsible office</x:v>
      </x:c>
      <x:c r="H12" s="63" t="str">
        <x:v>COA Circular No. 2023-004 — exact annex/section to be entered</x:v>
      </x:c>
      <x:c r="I12" s="63" t="str">
        <x:v>Enter effectivity/amendment</x:v>
      </x:c>
      <x:c r="J12" s="63" t="str">
        <x:v>To be extracted/confirmed</x:v>
      </x:c>
      <x:c r="K12" s="63" t="str">
        <x:v>Enter exception authority, if any</x:v>
      </x:c>
      <x:c r="L12" s="63" t="str">
        <x:v>Enter plain-language return message</x:v>
      </x:c>
      <x:c r="M12" s="63" t="str"/>
      <x:c r="N12" s="63" t="str"/>
      <x:c r="O12" s="63" t="str"/>
    </x:row>
    <x:row r="13">
      <x:c r="A13" s="57" t="str">
        <x:v>DOC-008</x:v>
      </x:c>
      <x:c r="B13" s="57" t="str">
        <x:v>Travel claim</x:v>
      </x:c>
      <x:c r="C13" s="63" t="str">
        <x:v>Enter claimant/payee class</x:v>
      </x:c>
      <x:c r="D13" s="63" t="str">
        <x:v>Enter precise condition</x:v>
      </x:c>
      <x:c r="E13" s="63" t="str">
        <x:v>Enter exact currently applicable requirement after verification</x:v>
      </x:c>
      <x:c r="F13" s="63" t="str">
        <x:v>Confirm document form</x:v>
      </x:c>
      <x:c r="G13" s="63" t="str">
        <x:v>Enter responsible office</x:v>
      </x:c>
      <x:c r="H13" s="63" t="str">
        <x:v>COA Circular No. 2023-004 — exact annex/section to be entered</x:v>
      </x:c>
      <x:c r="I13" s="63" t="str">
        <x:v>Enter effectivity/amendment</x:v>
      </x:c>
      <x:c r="J13" s="63" t="str">
        <x:v>To be extracted/confirmed</x:v>
      </x:c>
      <x:c r="K13" s="63" t="str">
        <x:v>Enter exception authority, if any</x:v>
      </x:c>
      <x:c r="L13" s="63" t="str">
        <x:v>Enter plain-language return message</x:v>
      </x:c>
      <x:c r="M13" s="63" t="str"/>
      <x:c r="N13" s="63" t="str"/>
      <x:c r="O13" s="63" t="str"/>
    </x:row>
    <x:row r="14">
      <x:c r="A14" s="57" t="str">
        <x:v>DOC-009</x:v>
      </x:c>
      <x:c r="B14" s="57" t="str">
        <x:v>Tax / withholding remittance</x:v>
      </x:c>
      <x:c r="C14" s="63" t="str">
        <x:v>Enter claimant/payee class</x:v>
      </x:c>
      <x:c r="D14" s="63" t="str">
        <x:v>Enter precise condition</x:v>
      </x:c>
      <x:c r="E14" s="63" t="str">
        <x:v>Enter exact currently applicable requirement after verification</x:v>
      </x:c>
      <x:c r="F14" s="63" t="str">
        <x:v>Confirm document form</x:v>
      </x:c>
      <x:c r="G14" s="63" t="str">
        <x:v>Enter responsible office</x:v>
      </x:c>
      <x:c r="H14" s="63" t="str">
        <x:v>COA Circular No. 2023-004 — exact annex/section to be entered</x:v>
      </x:c>
      <x:c r="I14" s="63" t="str">
        <x:v>Enter effectivity/amendment</x:v>
      </x:c>
      <x:c r="J14" s="63" t="str">
        <x:v>To be extracted/confirmed</x:v>
      </x:c>
      <x:c r="K14" s="63" t="str">
        <x:v>Enter exception authority, if any</x:v>
      </x:c>
      <x:c r="L14" s="63" t="str">
        <x:v>Enter plain-language return message</x:v>
      </x:c>
      <x:c r="M14" s="63" t="str"/>
      <x:c r="N14" s="63" t="str"/>
      <x:c r="O14" s="63" t="str"/>
    </x:row>
    <x:row r="15">
      <x:c r="A15" s="58" t="str">
        <x:v>DOC-010</x:v>
      </x:c>
      <x:c r="B15" s="58" t="str">
        <x:v>Other locally approved variant</x:v>
      </x:c>
      <x:c r="C15" s="64" t="str">
        <x:v>Enter claimant/payee class</x:v>
      </x:c>
      <x:c r="D15" s="64" t="str">
        <x:v>Enter precise condition</x:v>
      </x:c>
      <x:c r="E15" s="64" t="str">
        <x:v>Enter exact currently applicable requirement after verification</x:v>
      </x:c>
      <x:c r="F15" s="64" t="str">
        <x:v>Confirm document form</x:v>
      </x:c>
      <x:c r="G15" s="64" t="str">
        <x:v>Enter responsible office</x:v>
      </x:c>
      <x:c r="H15" s="64" t="str">
        <x:v>COA Circular No. 2023-004 — exact annex/section to be entered</x:v>
      </x:c>
      <x:c r="I15" s="64" t="str">
        <x:v>Enter effectivity/amendment</x:v>
      </x:c>
      <x:c r="J15" s="64" t="str">
        <x:v>To be extracted/confirmed</x:v>
      </x:c>
      <x:c r="K15" s="64" t="str">
        <x:v>Enter exception authority, if any</x:v>
      </x:c>
      <x:c r="L15" s="64" t="str">
        <x:v>Enter plain-language return message</x:v>
      </x:c>
      <x:c r="M15" s="64" t="str"/>
      <x:c r="N15" s="64" t="str"/>
      <x:c r="O15" s="64" t="str"/>
    </x:row>
  </x:sheetData>
  <x:mergeCells>
    <x:mergeCell ref="A1:O1"/>
    <x:mergeCell ref="A2:O2"/>
  </x:mergeCells>
  <x:conditionalFormatting sqref="J6:J15">
    <x:cfRule type="containsText" dxfId="10" priority="1" operator="containsText" text="Accepted"/>
    <x:cfRule type="containsText" dxfId="11" priority="2" operator="containsText" text="Pass"/>
    <x:cfRule type="containsText" dxfId="12" priority="3" operator="containsText" text="Ready"/>
    <x:cfRule type="containsText" dxfId="13" priority="4" operator="containsText" text="Blocked"/>
    <x:cfRule type="containsText" dxfId="14" priority="5" operator="containsText" text="Fail"/>
  </x:conditionalFormatting>
  <x:dataValidations count="1">
    <x:dataValidation type="list" sqref="J6:J15">
      <x:formula1>"To be extracted/confirmed,Applicable - draft,Approved - local,Not applicable - documented,Superseded"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fcc99a1e3446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55" hidden="0" customWidth="1"/>
    <x:col min="4" max="4" width="22" hidden="0" customWidth="1"/>
    <x:col min="5" max="5" width="25" hidden="0" customWidth="1"/>
    <x:col min="6" max="6" width="28" hidden="0" customWidth="1"/>
    <x:col min="7" max="7" width="22" hidden="0" customWidth="1"/>
    <x:col min="8" max="8" width="22" hidden="0" customWidth="1"/>
    <x:col min="9" max="9" width="15" hidden="0" customWidth="1"/>
    <x:col min="10" max="10" width="45" hidden="0" customWidth="1"/>
    <x:col min="11" max="11" width="18" hidden="0" customWidth="1"/>
    <x:col min="12" max="12" width="26" hidden="0" customWidth="1"/>
    <x:col min="13" max="13" width="34" hidden="0" customWidth="1"/>
    <x:col min="14" max="14" width="18" hidden="0" customWidth="1"/>
    <x:col min="15" max="15" width="14" hidden="0" customWidth="1"/>
    <x:col min="16" max="16" width="16" hidden="0" customWidth="1"/>
    <x:col min="17" max="17" width="34" hidden="0" customWidth="1"/>
  </x:cols>
  <x:sheetData>
    <x:row r="1" ht="30" customHeight="1">
      <x:c r="A1" s="146" t="str">
        <x:v>Seven practical form tests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</x:row>
    <x:row r="2" ht="34" customHeight="1">
      <x:c r="A2" s="147" t="str">
        <x:v>Use actual approved devices, printers, form stock, and redacted or synthetic samples. The maker and witness must be different people; evidence references should point to retained artifacts, not confidential content copied into this workbook.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  <x:c r="P2" s="147"/>
      <x:c r="Q2" s="147"/>
      <x:c r="R2" s="147"/>
    </x:row>
    <x:row r="3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  <x:c r="M3" s="148"/>
      <x:c r="N3" s="148"/>
      <x:c r="O3" s="148"/>
      <x:c r="P3" s="148"/>
      <x:c r="Q3" s="148"/>
      <x:c r="R3" s="148"/>
    </x:row>
    <x:row r="4">
      <x:c r="A4" s="148"/>
      <x:c r="B4" s="148"/>
      <x:c r="C4" s="148"/>
      <x:c r="D4" s="148"/>
      <x:c r="E4" s="148"/>
      <x:c r="F4" s="148"/>
      <x:c r="G4" s="148"/>
      <x:c r="H4" s="148"/>
      <x:c r="I4" s="148"/>
      <x:c r="J4" s="148"/>
      <x:c r="K4" s="148"/>
      <x:c r="L4" s="148"/>
      <x:c r="M4" s="148"/>
      <x:c r="N4" s="148"/>
      <x:c r="O4" s="148"/>
      <x:c r="P4" s="148"/>
      <x:c r="Q4" s="148"/>
      <x:c r="R4" s="148"/>
    </x:row>
    <x:row r="5" ht="32" customHeight="1">
      <x:c r="A5" s="160" t="str">
        <x:v>Test ID</x:v>
      </x:c>
      <x:c r="B5" s="161" t="str">
        <x:v>Test category</x:v>
      </x:c>
      <x:c r="C5" s="161" t="str">
        <x:v>Pass objective</x:v>
      </x:c>
      <x:c r="D5" s="161" t="str">
        <x:v>Form code / version</x:v>
      </x:c>
      <x:c r="E5" s="161" t="str">
        <x:v>Sample / reference</x:v>
      </x:c>
      <x:c r="F5" s="161" t="str">
        <x:v>Device / printer / stock</x:v>
      </x:c>
      <x:c r="G5" s="161" t="str">
        <x:v>Test owner</x:v>
      </x:c>
      <x:c r="H5" s="161" t="str">
        <x:v>Different witness</x:v>
      </x:c>
      <x:c r="I5" s="161" t="str">
        <x:v>Planned date</x:v>
      </x:c>
      <x:c r="J5" s="161" t="str">
        <x:v>Observed result</x:v>
      </x:c>
      <x:c r="K5" s="161" t="str">
        <x:v>Result status</x:v>
      </x:c>
      <x:c r="L5" s="161" t="str">
        <x:v>Evidence reference</x:v>
      </x:c>
      <x:c r="M5" s="161" t="str">
        <x:v>Evidence SHA-256</x:v>
      </x:c>
      <x:c r="N5" s="161" t="str">
        <x:v>Issue / decision ID</x:v>
      </x:c>
      <x:c r="O5" s="161" t="str">
        <x:v>Rerun of</x:v>
      </x:c>
      <x:c r="P5" s="161" t="str">
        <x:v>Completed date</x:v>
      </x:c>
      <x:c r="Q5" s="162" t="str">
        <x:v>Notes</x:v>
      </x:c>
      <x:c r="R5" s="148"/>
    </x:row>
    <x:row r="6">
      <x:c r="A6" s="56" t="str">
        <x:v>PT-01</x:v>
      </x:c>
      <x:c r="B6" s="56" t="str">
        <x:v>Data and control totals</x:v>
      </x:c>
      <x:c r="C6" s="56" t="str">
        <x:v>Every value, subtotal, cross-foot, variance, and source count ties to the pinned source evidence.</x:v>
      </x:c>
      <x:c r="D6" s="62" t="str">
        <x:v>Enter form code/version</x:v>
      </x:c>
      <x:c r="E6" s="62" t="str">
        <x:v>Enter sample/reference</x:v>
      </x:c>
      <x:c r="F6" s="62" t="str">
        <x:v>Enter device/printer/stock</x:v>
      </x:c>
      <x:c r="G6" s="62" t="str">
        <x:v>Enter owner</x:v>
      </x:c>
      <x:c r="H6" s="62" t="str">
        <x:v>Enter different witness</x:v>
      </x:c>
      <x:c r="I6" s="71" t="str"/>
      <x:c r="J6" s="62" t="str">
        <x:v>Enter observed result</x:v>
      </x:c>
      <x:c r="K6" s="62" t="str">
        <x:v>Not planned</x:v>
      </x:c>
      <x:c r="L6" s="62" t="str"/>
      <x:c r="M6" s="62" t="str"/>
      <x:c r="N6" s="62" t="str"/>
      <x:c r="O6" s="62" t="str"/>
      <x:c r="P6" s="71" t="str"/>
      <x:c r="Q6" s="62" t="str"/>
      <x:c r="R6" s="148"/>
    </x:row>
    <x:row r="7">
      <x:c r="A7" s="57" t="str">
        <x:v>PT-02</x:v>
      </x:c>
      <x:c r="B7" s="57" t="str">
        <x:v>Layout and fields</x:v>
      </x:c>
      <x:c r="C7" s="57" t="str">
        <x:v>All accepted labels, fields, ordering, spacing, and continuation sections match the locally accepted reference.</x:v>
      </x:c>
      <x:c r="D7" s="63" t="str">
        <x:v>Enter form code/version</x:v>
      </x:c>
      <x:c r="E7" s="63" t="str">
        <x:v>Enter sample/reference</x:v>
      </x:c>
      <x:c r="F7" s="63" t="str">
        <x:v>Enter device/printer/stock</x:v>
      </x:c>
      <x:c r="G7" s="63" t="str">
        <x:v>Enter owner</x:v>
      </x:c>
      <x:c r="H7" s="63" t="str">
        <x:v>Enter different witness</x:v>
      </x:c>
      <x:c r="I7" s="72" t="str"/>
      <x:c r="J7" s="63" t="str">
        <x:v>Enter observed result</x:v>
      </x:c>
      <x:c r="K7" s="63" t="str">
        <x:v>Not planned</x:v>
      </x:c>
      <x:c r="L7" s="63" t="str"/>
      <x:c r="M7" s="63" t="str"/>
      <x:c r="N7" s="63" t="str"/>
      <x:c r="O7" s="63" t="str"/>
      <x:c r="P7" s="72" t="str"/>
      <x:c r="Q7" s="63" t="str"/>
      <x:c r="R7" s="148"/>
    </x:row>
    <x:row r="8">
      <x:c r="A8" s="57" t="str">
        <x:v>PT-03</x:v>
      </x:c>
      <x:c r="B8" s="57" t="str">
        <x:v>Signatory and custody route</x:v>
      </x:c>
      <x:c r="C8" s="57" t="str">
        <x:v>Wet-signature blocks, copy routing, physical custody, and TracePoint references follow the accepted local procedure.</x:v>
      </x:c>
      <x:c r="D8" s="63" t="str">
        <x:v>Enter form code/version</x:v>
      </x:c>
      <x:c r="E8" s="63" t="str">
        <x:v>Enter sample/reference</x:v>
      </x:c>
      <x:c r="F8" s="63" t="str">
        <x:v>Enter device/printer/stock</x:v>
      </x:c>
      <x:c r="G8" s="63" t="str">
        <x:v>Enter owner</x:v>
      </x:c>
      <x:c r="H8" s="63" t="str">
        <x:v>Enter different witness</x:v>
      </x:c>
      <x:c r="I8" s="72" t="str"/>
      <x:c r="J8" s="63" t="str">
        <x:v>Enter observed result</x:v>
      </x:c>
      <x:c r="K8" s="63" t="str">
        <x:v>Not planned</x:v>
      </x:c>
      <x:c r="L8" s="63" t="str"/>
      <x:c r="M8" s="63" t="str"/>
      <x:c r="N8" s="63" t="str"/>
      <x:c r="O8" s="63" t="str"/>
      <x:c r="P8" s="72" t="str"/>
      <x:c r="Q8" s="63" t="str"/>
      <x:c r="R8" s="148"/>
    </x:row>
    <x:row r="9">
      <x:c r="A9" s="57" t="str">
        <x:v>PT-04</x:v>
      </x:c>
      <x:c r="B9" s="57" t="str">
        <x:v>Overflow and pagination</x:v>
      </x:c>
      <x:c r="C9" s="57" t="str">
        <x:v>Long names, many rows, continuation pages, repeated headings, and page numbering remain readable and complete.</x:v>
      </x:c>
      <x:c r="D9" s="63" t="str">
        <x:v>Enter form code/version</x:v>
      </x:c>
      <x:c r="E9" s="63" t="str">
        <x:v>Enter sample/reference</x:v>
      </x:c>
      <x:c r="F9" s="63" t="str">
        <x:v>Enter device/printer/stock</x:v>
      </x:c>
      <x:c r="G9" s="63" t="str">
        <x:v>Enter owner</x:v>
      </x:c>
      <x:c r="H9" s="63" t="str">
        <x:v>Enter different witness</x:v>
      </x:c>
      <x:c r="I9" s="72" t="str"/>
      <x:c r="J9" s="63" t="str">
        <x:v>Enter observed result</x:v>
      </x:c>
      <x:c r="K9" s="63" t="str">
        <x:v>Not planned</x:v>
      </x:c>
      <x:c r="L9" s="63" t="str"/>
      <x:c r="M9" s="63" t="str"/>
      <x:c r="N9" s="63" t="str"/>
      <x:c r="O9" s="63" t="str"/>
      <x:c r="P9" s="72" t="str"/>
      <x:c r="Q9" s="63" t="str"/>
      <x:c r="R9" s="148"/>
    </x:row>
    <x:row r="10">
      <x:c r="A10" s="57" t="str">
        <x:v>PT-05</x:v>
      </x:c>
      <x:c r="B10" s="57" t="str">
        <x:v>Accessibility and download</x:v>
      </x:c>
      <x:c r="C10" s="57" t="str">
        <x:v>Keyboard use, readable labels, generated-file access, filename, and download behavior work for the intended users.</x:v>
      </x:c>
      <x:c r="D10" s="63" t="str">
        <x:v>Enter form code/version</x:v>
      </x:c>
      <x:c r="E10" s="63" t="str">
        <x:v>Enter sample/reference</x:v>
      </x:c>
      <x:c r="F10" s="63" t="str">
        <x:v>Enter device/printer/stock</x:v>
      </x:c>
      <x:c r="G10" s="63" t="str">
        <x:v>Enter owner</x:v>
      </x:c>
      <x:c r="H10" s="63" t="str">
        <x:v>Enter different witness</x:v>
      </x:c>
      <x:c r="I10" s="72" t="str"/>
      <x:c r="J10" s="63" t="str">
        <x:v>Enter observed result</x:v>
      </x:c>
      <x:c r="K10" s="63" t="str">
        <x:v>Not planned</x:v>
      </x:c>
      <x:c r="L10" s="63" t="str"/>
      <x:c r="M10" s="63" t="str"/>
      <x:c r="N10" s="63" t="str"/>
      <x:c r="O10" s="63" t="str"/>
      <x:c r="P10" s="72" t="str"/>
      <x:c r="Q10" s="63" t="str"/>
      <x:c r="R10" s="148"/>
    </x:row>
    <x:row r="11">
      <x:c r="A11" s="57" t="str">
        <x:v>PT-06</x:v>
      </x:c>
      <x:c r="B11" s="57" t="str">
        <x:v>Printer and form stock</x:v>
      </x:c>
      <x:c r="C11" s="57" t="str">
        <x:v>The accepted printer, paper size, margins, stock, copies, and scaling produce an acceptable physical output.</x:v>
      </x:c>
      <x:c r="D11" s="63" t="str">
        <x:v>Enter form code/version</x:v>
      </x:c>
      <x:c r="E11" s="63" t="str">
        <x:v>Enter sample/reference</x:v>
      </x:c>
      <x:c r="F11" s="63" t="str">
        <x:v>Enter device/printer/stock</x:v>
      </x:c>
      <x:c r="G11" s="63" t="str">
        <x:v>Enter owner</x:v>
      </x:c>
      <x:c r="H11" s="63" t="str">
        <x:v>Enter different witness</x:v>
      </x:c>
      <x:c r="I11" s="72" t="str"/>
      <x:c r="J11" s="63" t="str">
        <x:v>Enter observed result</x:v>
      </x:c>
      <x:c r="K11" s="63" t="str">
        <x:v>Not planned</x:v>
      </x:c>
      <x:c r="L11" s="63" t="str"/>
      <x:c r="M11" s="63" t="str"/>
      <x:c r="N11" s="63" t="str"/>
      <x:c r="O11" s="63" t="str"/>
      <x:c r="P11" s="72" t="str"/>
      <x:c r="Q11" s="63" t="str"/>
      <x:c r="R11" s="148"/>
    </x:row>
    <x:row r="12">
      <x:c r="A12" s="58" t="str">
        <x:v>PT-07</x:v>
      </x:c>
      <x:c r="B12" s="58" t="str">
        <x:v>Rollback and recovery</x:v>
      </x:c>
      <x:c r="C12" s="58" t="str">
        <x:v>A failed or superseded candidate can be rolled back and reproduced without losing its prior evidence or lineage.</x:v>
      </x:c>
      <x:c r="D12" s="64" t="str">
        <x:v>Enter form code/version</x:v>
      </x:c>
      <x:c r="E12" s="64" t="str">
        <x:v>Enter sample/reference</x:v>
      </x:c>
      <x:c r="F12" s="64" t="str">
        <x:v>Enter device/printer/stock</x:v>
      </x:c>
      <x:c r="G12" s="64" t="str">
        <x:v>Enter owner</x:v>
      </x:c>
      <x:c r="H12" s="64" t="str">
        <x:v>Enter different witness</x:v>
      </x:c>
      <x:c r="I12" s="73" t="str"/>
      <x:c r="J12" s="64" t="str">
        <x:v>Enter observed result</x:v>
      </x:c>
      <x:c r="K12" s="64" t="str">
        <x:v>Not planned</x:v>
      </x:c>
      <x:c r="L12" s="64" t="str"/>
      <x:c r="M12" s="64" t="str"/>
      <x:c r="N12" s="64" t="str"/>
      <x:c r="O12" s="64" t="str"/>
      <x:c r="P12" s="73" t="str"/>
      <x:c r="Q12" s="64" t="str"/>
      <x:c r="R12" s="148"/>
    </x:row>
  </x:sheetData>
  <x:mergeCells>
    <x:mergeCell ref="A1:R1"/>
    <x:mergeCell ref="A2:R2"/>
  </x:mergeCells>
  <x:conditionalFormatting sqref="K6:K12">
    <x:cfRule type="containsText" dxfId="15" priority="1" operator="containsText" text="Accepted"/>
    <x:cfRule type="containsText" dxfId="16" priority="2" operator="containsText" text="Pass"/>
    <x:cfRule type="containsText" dxfId="17" priority="3" operator="containsText" text="Ready"/>
    <x:cfRule type="containsText" dxfId="18" priority="4" operator="containsText" text="Blocked"/>
    <x:cfRule type="containsText" dxfId="19" priority="5" operator="containsText" text="Fail"/>
  </x:conditionalFormatting>
  <x:dataValidations count="1">
    <x:dataValidation type="list" sqref="K6:K12">
      <x:formula1>"Not planned,Planned,Pass,Fail - rerun,Blocked"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cd3b0c28a24b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48" hidden="0" customWidth="1"/>
    <x:col min="4" max="4" width="28" hidden="0" customWidth="1"/>
    <x:col min="5" max="5" width="22" hidden="0" customWidth="1"/>
    <x:col min="6" max="6" width="22" hidden="0" customWidth="1"/>
    <x:col min="7" max="7" width="48" hidden="0" customWidth="1"/>
    <x:col min="8" max="8" width="42" hidden="0" customWidth="1"/>
    <x:col min="9" max="9" width="15" hidden="0" customWidth="1"/>
    <x:col min="10" max="10" width="18" hidden="0" customWidth="1"/>
    <x:col min="11" max="11" width="28" hidden="0" customWidth="1"/>
    <x:col min="12" max="12" width="42" hidden="0" customWidth="1"/>
    <x:col min="13" max="13" width="26" hidden="0" customWidth="1"/>
    <x:col min="14" max="14" width="14" hidden="0" customWidth="1"/>
    <x:col min="15" max="15" width="16" hidden="0" customWidth="1"/>
    <x:col min="16" max="16" width="34" hidden="0" customWidth="1"/>
  </x:cols>
  <x:sheetData>
    <x:row r="1" ht="30" customHeight="1">
      <x:c r="A1" s="146" t="str">
        <x:v>Role and non-functional exercises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  <x:c r="P1" s="146"/>
    </x:row>
    <x:row r="2" ht="34" customHeight="1">
      <x:c r="A2" s="147" t="str">
        <x:v>Prepare plain-language exercises for each office. Owners perform the exercise; different witnesses independently observe and retain the evidence used by GRAND's F11 acceptance workflow.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  <x:c r="P2" s="147"/>
    </x:row>
    <x:row r="3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  <x:c r="M3" s="148"/>
      <x:c r="N3" s="148"/>
      <x:c r="O3" s="148"/>
      <x:c r="P3" s="148"/>
    </x:row>
    <x:row r="4">
      <x:c r="A4" s="148"/>
      <x:c r="B4" s="148"/>
      <x:c r="C4" s="148"/>
      <x:c r="D4" s="148"/>
      <x:c r="E4" s="148"/>
      <x:c r="F4" s="148"/>
      <x:c r="G4" s="148"/>
      <x:c r="H4" s="148"/>
      <x:c r="I4" s="148"/>
      <x:c r="J4" s="148"/>
      <x:c r="K4" s="148"/>
      <x:c r="L4" s="148"/>
      <x:c r="M4" s="148"/>
      <x:c r="N4" s="148"/>
      <x:c r="O4" s="148"/>
      <x:c r="P4" s="148"/>
    </x:row>
    <x:row r="5" ht="32" customHeight="1">
      <x:c r="A5" s="160" t="str">
        <x:v>Exercise ID</x:v>
      </x:c>
      <x:c r="B5" s="161" t="str">
        <x:v>Stakeholder / office</x:v>
      </x:c>
      <x:c r="C5" s="161" t="str">
        <x:v>Starter scenario</x:v>
      </x:c>
      <x:c r="D5" s="161" t="str">
        <x:v>Local scope / variant</x:v>
      </x:c>
      <x:c r="E5" s="161" t="str">
        <x:v>Owner</x:v>
      </x:c>
      <x:c r="F5" s="161" t="str">
        <x:v>Different witness</x:v>
      </x:c>
      <x:c r="G5" s="161" t="str">
        <x:v>Procedure</x:v>
      </x:c>
      <x:c r="H5" s="161" t="str">
        <x:v>Observable pass condition</x:v>
      </x:c>
      <x:c r="I5" s="161" t="str">
        <x:v>Due date</x:v>
      </x:c>
      <x:c r="J5" s="161" t="str">
        <x:v>Status</x:v>
      </x:c>
      <x:c r="K5" s="161" t="str">
        <x:v>Support route</x:v>
      </x:c>
      <x:c r="L5" s="161" t="str">
        <x:v>Observed result</x:v>
      </x:c>
      <x:c r="M5" s="161" t="str">
        <x:v>Evidence ref</x:v>
      </x:c>
      <x:c r="N5" s="161" t="str">
        <x:v>Rerun of</x:v>
      </x:c>
      <x:c r="O5" s="161" t="str">
        <x:v>Completed date</x:v>
      </x:c>
      <x:c r="P5" s="162" t="str">
        <x:v>Notes</x:v>
      </x:c>
    </x:row>
    <x:row r="6">
      <x:c r="A6" s="56" t="str">
        <x:v>EX-01</x:v>
      </x:c>
      <x:c r="B6" s="56" t="str">
        <x:v>Requesting office</x:v>
      </x:c>
      <x:c r="C6" s="56" t="str">
        <x:v>Initiate and track a funded request; follow a guided return/modification before DV/check issuance</x:v>
      </x:c>
      <x:c r="D6" s="62" t="str">
        <x:v>Enter scope and variant</x:v>
      </x:c>
      <x:c r="E6" s="62" t="str">
        <x:v>Enter owner</x:v>
      </x:c>
      <x:c r="F6" s="62" t="str">
        <x:v>Enter different witness</x:v>
      </x:c>
      <x:c r="G6" s="62" t="str">
        <x:v>Enter step-by-step procedure</x:v>
      </x:c>
      <x:c r="H6" s="62" t="str">
        <x:v>Enter observable pass condition</x:v>
      </x:c>
      <x:c r="I6" s="71" t="str"/>
      <x:c r="J6" s="62" t="str">
        <x:v>Not planned</x:v>
      </x:c>
      <x:c r="K6" s="62" t="str">
        <x:v>Enter support route</x:v>
      </x:c>
      <x:c r="L6" s="62" t="str"/>
      <x:c r="M6" s="62" t="str"/>
      <x:c r="N6" s="62" t="str"/>
      <x:c r="O6" s="71" t="str"/>
      <x:c r="P6" s="62" t="str"/>
    </x:row>
    <x:row r="7">
      <x:c r="A7" s="57" t="str">
        <x:v>EX-02</x:v>
      </x:c>
      <x:c r="B7" s="57" t="str">
        <x:v>Budget</x:v>
      </x:c>
      <x:c r="C7" s="57" t="str">
        <x:v>Confirm appropriation/allotment/obligation controls and generate a candidate budget form</x:v>
      </x:c>
      <x:c r="D7" s="63" t="str">
        <x:v>Enter scope and variant</x:v>
      </x:c>
      <x:c r="E7" s="63" t="str">
        <x:v>Enter owner</x:v>
      </x:c>
      <x:c r="F7" s="63" t="str">
        <x:v>Enter different witness</x:v>
      </x:c>
      <x:c r="G7" s="63" t="str">
        <x:v>Enter step-by-step procedure</x:v>
      </x:c>
      <x:c r="H7" s="63" t="str">
        <x:v>Enter observable pass condition</x:v>
      </x:c>
      <x:c r="I7" s="72" t="str"/>
      <x:c r="J7" s="63" t="str">
        <x:v>Not planned</x:v>
      </x:c>
      <x:c r="K7" s="63" t="str">
        <x:v>Enter support route</x:v>
      </x:c>
      <x:c r="L7" s="63" t="str"/>
      <x:c r="M7" s="63" t="str"/>
      <x:c r="N7" s="63" t="str"/>
      <x:c r="O7" s="72" t="str"/>
      <x:c r="P7" s="63" t="str"/>
    </x:row>
    <x:row r="8">
      <x:c r="A8" s="57" t="str">
        <x:v>EX-03</x:v>
      </x:c>
      <x:c r="B8" s="57" t="str">
        <x:v>Accounting</x:v>
      </x:c>
      <x:c r="C8" s="57" t="str">
        <x:v>Validate documentary readiness, prepare/review/post or return the accounting path, and reproduce evidence</x:v>
      </x:c>
      <x:c r="D8" s="63" t="str">
        <x:v>Enter scope and variant</x:v>
      </x:c>
      <x:c r="E8" s="63" t="str">
        <x:v>Enter owner</x:v>
      </x:c>
      <x:c r="F8" s="63" t="str">
        <x:v>Enter different witness</x:v>
      </x:c>
      <x:c r="G8" s="63" t="str">
        <x:v>Enter step-by-step procedure</x:v>
      </x:c>
      <x:c r="H8" s="63" t="str">
        <x:v>Enter observable pass condition</x:v>
      </x:c>
      <x:c r="I8" s="72" t="str"/>
      <x:c r="J8" s="63" t="str">
        <x:v>Not planned</x:v>
      </x:c>
      <x:c r="K8" s="63" t="str">
        <x:v>Enter support route</x:v>
      </x:c>
      <x:c r="L8" s="63" t="str"/>
      <x:c r="M8" s="63" t="str"/>
      <x:c r="N8" s="63" t="str"/>
      <x:c r="O8" s="72" t="str"/>
      <x:c r="P8" s="63" t="str"/>
    </x:row>
    <x:row r="9">
      <x:c r="A9" s="57" t="str">
        <x:v>EX-04</x:v>
      </x:c>
      <x:c r="B9" s="57" t="str">
        <x:v>Treasury</x:v>
      </x:c>
      <x:c r="C9" s="57" t="str">
        <x:v>Confirm cash/payment controls, issue/release path, advice, return handling, and reconciliation</x:v>
      </x:c>
      <x:c r="D9" s="63" t="str">
        <x:v>Enter scope and variant</x:v>
      </x:c>
      <x:c r="E9" s="63" t="str">
        <x:v>Enter owner</x:v>
      </x:c>
      <x:c r="F9" s="63" t="str">
        <x:v>Enter different witness</x:v>
      </x:c>
      <x:c r="G9" s="63" t="str">
        <x:v>Enter step-by-step procedure</x:v>
      </x:c>
      <x:c r="H9" s="63" t="str">
        <x:v>Enter observable pass condition</x:v>
      </x:c>
      <x:c r="I9" s="72" t="str"/>
      <x:c r="J9" s="63" t="str">
        <x:v>Not planned</x:v>
      </x:c>
      <x:c r="K9" s="63" t="str">
        <x:v>Enter support route</x:v>
      </x:c>
      <x:c r="L9" s="63" t="str"/>
      <x:c r="M9" s="63" t="str"/>
      <x:c r="N9" s="63" t="str"/>
      <x:c r="O9" s="72" t="str"/>
      <x:c r="P9" s="63" t="str"/>
    </x:row>
    <x:row r="10">
      <x:c r="A10" s="57" t="str">
        <x:v>EX-05</x:v>
      </x:c>
      <x:c r="B10" s="57" t="str">
        <x:v>Finance administration</x:v>
      </x:c>
      <x:c r="C10" s="57" t="str">
        <x:v>Activate only independently approved effective-dated setup, mappings, templates, and Internal How-Tos</x:v>
      </x:c>
      <x:c r="D10" s="63" t="str">
        <x:v>Enter scope and variant</x:v>
      </x:c>
      <x:c r="E10" s="63" t="str">
        <x:v>Enter owner</x:v>
      </x:c>
      <x:c r="F10" s="63" t="str">
        <x:v>Enter different witness</x:v>
      </x:c>
      <x:c r="G10" s="63" t="str">
        <x:v>Enter step-by-step procedure</x:v>
      </x:c>
      <x:c r="H10" s="63" t="str">
        <x:v>Enter observable pass condition</x:v>
      </x:c>
      <x:c r="I10" s="72" t="str"/>
      <x:c r="J10" s="63" t="str">
        <x:v>Not planned</x:v>
      </x:c>
      <x:c r="K10" s="63" t="str">
        <x:v>Enter support route</x:v>
      </x:c>
      <x:c r="L10" s="63" t="str"/>
      <x:c r="M10" s="63" t="str"/>
      <x:c r="N10" s="63" t="str"/>
      <x:c r="O10" s="72" t="str"/>
      <x:c r="P10" s="63" t="str"/>
    </x:row>
    <x:row r="11">
      <x:c r="A11" s="57" t="str">
        <x:v>EX-06</x:v>
      </x:c>
      <x:c r="B11" s="57" t="str">
        <x:v>Reviewer / auditor</x:v>
      </x:c>
      <x:c r="C11" s="57" t="str">
        <x:v>Trace one case from request through budget, accounting, payment, reports, correction, and export manifests</x:v>
      </x:c>
      <x:c r="D11" s="63" t="str">
        <x:v>Enter scope and variant</x:v>
      </x:c>
      <x:c r="E11" s="63" t="str">
        <x:v>Enter owner</x:v>
      </x:c>
      <x:c r="F11" s="63" t="str">
        <x:v>Enter different witness</x:v>
      </x:c>
      <x:c r="G11" s="63" t="str">
        <x:v>Enter step-by-step procedure</x:v>
      </x:c>
      <x:c r="H11" s="63" t="str">
        <x:v>Enter observable pass condition</x:v>
      </x:c>
      <x:c r="I11" s="72" t="str"/>
      <x:c r="J11" s="63" t="str">
        <x:v>Not planned</x:v>
      </x:c>
      <x:c r="K11" s="63" t="str">
        <x:v>Enter support route</x:v>
      </x:c>
      <x:c r="L11" s="63" t="str"/>
      <x:c r="M11" s="63" t="str"/>
      <x:c r="N11" s="63" t="str"/>
      <x:c r="O11" s="72" t="str"/>
      <x:c r="P11" s="63" t="str"/>
    </x:row>
    <x:row r="12">
      <x:c r="A12" s="57" t="str">
        <x:v>EX-07</x:v>
      </x:c>
      <x:c r="B12" s="57" t="str">
        <x:v>Accessibility / device</x:v>
      </x:c>
      <x:c r="C12" s="57" t="str">
        <x:v>Complete representative keyboard, responsive, download, printing, and floating tutorial tasks</x:v>
      </x:c>
      <x:c r="D12" s="63" t="str">
        <x:v>Enter scope and variant</x:v>
      </x:c>
      <x:c r="E12" s="63" t="str">
        <x:v>Enter owner</x:v>
      </x:c>
      <x:c r="F12" s="63" t="str">
        <x:v>Enter different witness</x:v>
      </x:c>
      <x:c r="G12" s="63" t="str">
        <x:v>Enter step-by-step procedure</x:v>
      </x:c>
      <x:c r="H12" s="63" t="str">
        <x:v>Enter observable pass condition</x:v>
      </x:c>
      <x:c r="I12" s="72" t="str"/>
      <x:c r="J12" s="63" t="str">
        <x:v>Not planned</x:v>
      </x:c>
      <x:c r="K12" s="63" t="str">
        <x:v>Enter support route</x:v>
      </x:c>
      <x:c r="L12" s="63" t="str"/>
      <x:c r="M12" s="63" t="str"/>
      <x:c r="N12" s="63" t="str"/>
      <x:c r="O12" s="72" t="str"/>
      <x:c r="P12" s="63" t="str"/>
    </x:row>
    <x:row r="13">
      <x:c r="A13" s="57" t="str">
        <x:v>EX-08</x:v>
      </x:c>
      <x:c r="B13" s="57" t="str">
        <x:v>Support / continuity</x:v>
      </x:c>
      <x:c r="C13" s="57" t="str">
        <x:v>Use department-specific How-Tos, escalate an issue, change an incumbent without transferring private progress</x:v>
      </x:c>
      <x:c r="D13" s="63" t="str">
        <x:v>Enter scope and variant</x:v>
      </x:c>
      <x:c r="E13" s="63" t="str">
        <x:v>Enter owner</x:v>
      </x:c>
      <x:c r="F13" s="63" t="str">
        <x:v>Enter different witness</x:v>
      </x:c>
      <x:c r="G13" s="63" t="str">
        <x:v>Enter step-by-step procedure</x:v>
      </x:c>
      <x:c r="H13" s="63" t="str">
        <x:v>Enter observable pass condition</x:v>
      </x:c>
      <x:c r="I13" s="72" t="str"/>
      <x:c r="J13" s="63" t="str">
        <x:v>Not planned</x:v>
      </x:c>
      <x:c r="K13" s="63" t="str">
        <x:v>Enter support route</x:v>
      </x:c>
      <x:c r="L13" s="63" t="str"/>
      <x:c r="M13" s="63" t="str"/>
      <x:c r="N13" s="63" t="str"/>
      <x:c r="O13" s="72" t="str"/>
      <x:c r="P13" s="63" t="str"/>
    </x:row>
    <x:row r="14">
      <x:c r="A14" s="58" t="str">
        <x:v>EX-09</x:v>
      </x:c>
      <x:c r="B14" s="58" t="str">
        <x:v>Recovery operations</x:v>
      </x:c>
      <x:c r="C14" s="58" t="str">
        <x:v>Perform and witness isolated two-store recovery, reconciliation, runtime-file checks, and disposal</x:v>
      </x:c>
      <x:c r="D14" s="64" t="str">
        <x:v>Enter scope and variant</x:v>
      </x:c>
      <x:c r="E14" s="64" t="str">
        <x:v>Enter owner</x:v>
      </x:c>
      <x:c r="F14" s="64" t="str">
        <x:v>Enter different witness</x:v>
      </x:c>
      <x:c r="G14" s="64" t="str">
        <x:v>Enter step-by-step procedure</x:v>
      </x:c>
      <x:c r="H14" s="64" t="str">
        <x:v>Enter observable pass condition</x:v>
      </x:c>
      <x:c r="I14" s="73" t="str"/>
      <x:c r="J14" s="64" t="str">
        <x:v>Not planned</x:v>
      </x:c>
      <x:c r="K14" s="64" t="str">
        <x:v>Enter support route</x:v>
      </x:c>
      <x:c r="L14" s="64" t="str"/>
      <x:c r="M14" s="64" t="str"/>
      <x:c r="N14" s="64" t="str"/>
      <x:c r="O14" s="73" t="str"/>
      <x:c r="P14" s="64" t="str"/>
    </x:row>
  </x:sheetData>
  <x:mergeCells>
    <x:mergeCell ref="A1:P1"/>
    <x:mergeCell ref="A2:P2"/>
  </x:mergeCells>
  <x:conditionalFormatting sqref="J6:J14">
    <x:cfRule type="containsText" dxfId="20" priority="1" operator="containsText" text="Accepted"/>
    <x:cfRule type="containsText" dxfId="21" priority="2" operator="containsText" text="Pass"/>
    <x:cfRule type="containsText" dxfId="22" priority="3" operator="containsText" text="Ready"/>
    <x:cfRule type="containsText" dxfId="23" priority="4" operator="containsText" text="Blocked"/>
    <x:cfRule type="containsText" dxfId="24" priority="5" operator="containsText" text="Fail"/>
  </x:conditionalFormatting>
  <x:dataValidations count="1">
    <x:dataValidation type="list" sqref="J6:J14">
      <x:formula1>"Not planned,Planned,Pass,Fail - rerun,Blocked"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1d9d13beaf4c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35" hidden="0" customWidth="1"/>
    <x:col min="5" max="5" width="30" hidden="0" customWidth="1"/>
    <x:col min="6" max="6" width="3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5" hidden="0" customWidth="1"/>
    <x:col min="17" max="17" width="15" hidden="0" customWidth="1"/>
    <x:col min="18" max="18" width="24" hidden="0" customWidth="1"/>
    <x:col min="19" max="19" width="20" hidden="0" customWidth="1"/>
    <x:col min="20" max="20" width="24" hidden="0" customWidth="1"/>
    <x:col min="21" max="21" width="28" hidden="0" customWidth="1"/>
    <x:col min="22" max="22" width="36" hidden="0" customWidth="1"/>
  </x:cols>
  <x:sheetData>
    <x:row r="1" ht="30" customHeight="1">
      <x:c r="A1" s="146" t="str">
        <x:v>Consecutive field-cycle reconciliation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  <x:c r="S1" s="146"/>
      <x:c r="T1" s="146"/>
      <x:c r="U1" s="146"/>
      <x:c r="V1" s="146"/>
    </x:row>
    <x:row r="2" ht="34" customHeight="1">
      <x:c r="A2" s="147" t="str">
        <x:v>Use the locally approved cadence and exact accepted form set. Compare both counts and amounts by stable source keys; explain and resolve every difference before an independent cycle decision.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  <x:c r="P2" s="147"/>
      <x:c r="Q2" s="147"/>
      <x:c r="R2" s="147"/>
      <x:c r="S2" s="147"/>
      <x:c r="T2" s="147"/>
      <x:c r="U2" s="147"/>
      <x:c r="V2" s="147"/>
    </x:row>
    <x:row r="3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  <x:c r="M3" s="148"/>
      <x:c r="N3" s="148"/>
      <x:c r="O3" s="148"/>
      <x:c r="P3" s="148"/>
      <x:c r="Q3" s="148"/>
      <x:c r="R3" s="148"/>
      <x:c r="S3" s="148"/>
      <x:c r="T3" s="148"/>
      <x:c r="U3" s="148"/>
      <x:c r="V3" s="148"/>
    </x:row>
    <x:row r="4">
      <x:c r="A4" s="148"/>
      <x:c r="B4" s="148"/>
      <x:c r="C4" s="148"/>
      <x:c r="D4" s="148"/>
      <x:c r="E4" s="148"/>
      <x:c r="F4" s="148"/>
      <x:c r="G4" s="148"/>
      <x:c r="H4" s="148"/>
      <x:c r="I4" s="148"/>
      <x:c r="J4" s="148"/>
      <x:c r="K4" s="148"/>
      <x:c r="L4" s="148"/>
      <x:c r="M4" s="148"/>
      <x:c r="N4" s="148"/>
      <x:c r="O4" s="148"/>
      <x:c r="P4" s="148"/>
      <x:c r="Q4" s="148"/>
      <x:c r="R4" s="148"/>
      <x:c r="S4" s="148"/>
      <x:c r="T4" s="148"/>
      <x:c r="U4" s="148"/>
      <x:c r="V4" s="148"/>
    </x:row>
    <x:row r="5" ht="32" customHeight="1">
      <x:c r="A5" s="160" t="str">
        <x:v>Cycle ID</x:v>
      </x:c>
      <x:c r="B5" s="161" t="str">
        <x:v>Mode</x:v>
      </x:c>
      <x:c r="C5" s="161" t="str">
        <x:v>Predecessor</x:v>
      </x:c>
      <x:c r="D5" s="161" t="str">
        <x:v>Scope / period</x:v>
      </x:c>
      <x:c r="E5" s="161" t="str">
        <x:v>Source lock / reference</x:v>
      </x:c>
      <x:c r="F5" s="161" t="str">
        <x:v>Accepted form set / checksum</x:v>
      </x:c>
      <x:c r="G5" s="161" t="str">
        <x:v>Source case count</x:v>
      </x:c>
      <x:c r="H5" s="161" t="str">
        <x:v>GRAND case count</x:v>
      </x:c>
      <x:c r="I5" s="161" t="str">
        <x:v>Source batch count</x:v>
      </x:c>
      <x:c r="J5" s="161" t="str">
        <x:v>GRAND batch count</x:v>
      </x:c>
      <x:c r="K5" s="161" t="str">
        <x:v>Source amount</x:v>
      </x:c>
      <x:c r="L5" s="161" t="str">
        <x:v>GRAND amount</x:v>
      </x:c>
      <x:c r="M5" s="161" t="str">
        <x:v>Register difference</x:v>
      </x:c>
      <x:c r="N5" s="161" t="str">
        <x:v>Ledger difference</x:v>
      </x:c>
      <x:c r="O5" s="161" t="str">
        <x:v>Report difference</x:v>
      </x:c>
      <x:c r="P5" s="161" t="str">
        <x:v>Open defects</x:v>
      </x:c>
      <x:c r="Q5" s="161" t="str">
        <x:v>Resolved defects</x:v>
      </x:c>
      <x:c r="R5" s="161" t="str">
        <x:v>Reconciliation owner</x:v>
      </x:c>
      <x:c r="S5" s="161" t="str">
        <x:v>Decision status</x:v>
      </x:c>
      <x:c r="T5" s="161" t="str">
        <x:v>Different reviewer</x:v>
      </x:c>
      <x:c r="U5" s="161" t="str">
        <x:v>Evidence ref</x:v>
      </x:c>
      <x:c r="V5" s="162" t="str">
        <x:v>Notes</x:v>
      </x:c>
    </x:row>
    <x:row r="6">
      <x:c r="A6" s="56" t="str">
        <x:v>CYCLE-01</x:v>
      </x:c>
      <x:c r="B6" s="62" t="str">
        <x:v>Shadow</x:v>
      </x:c>
      <x:c r="C6" s="62" t="str">
        <x:v>None</x:v>
      </x:c>
      <x:c r="D6" s="62" t="str">
        <x:v>Enter scope, offices, variants, and period</x:v>
      </x:c>
      <x:c r="E6" s="62" t="str">
        <x:v>Enter source-system lock/reference</x:v>
      </x:c>
      <x:c r="F6" s="62" t="str">
        <x:v>Enter exact accepted GRAND form set/checksum</x:v>
      </x:c>
      <x:c r="G6" s="62" t="str"/>
      <x:c r="H6" s="62" t="str"/>
      <x:c r="I6" s="62" t="str"/>
      <x:c r="J6" s="62" t="str"/>
      <x:c r="K6" s="80" t="str"/>
      <x:c r="L6" s="80" t="str"/>
      <x:c r="M6" s="80" t="str"/>
      <x:c r="N6" s="80" t="str"/>
      <x:c r="O6" s="80" t="str"/>
      <x:c r="P6" s="62" t="str"/>
      <x:c r="Q6" s="62" t="str"/>
      <x:c r="R6" s="62" t="str"/>
      <x:c r="S6" s="62" t="str">
        <x:v>Draft</x:v>
      </x:c>
      <x:c r="T6" s="62" t="str"/>
      <x:c r="U6" s="62" t="str"/>
      <x:c r="V6" s="62" t="str"/>
    </x:row>
    <x:row r="7">
      <x:c r="A7" s="57" t="str">
        <x:v>CYCLE-02</x:v>
      </x:c>
      <x:c r="B7" s="63" t="str">
        <x:v>Enter approved mode</x:v>
      </x:c>
      <x:c r="C7" s="63" t="str">
        <x:v>CYCLE-01</x:v>
      </x:c>
      <x:c r="D7" s="63" t="str">
        <x:v>Enter scope, offices, variants, and period</x:v>
      </x:c>
      <x:c r="E7" s="63" t="str">
        <x:v>Enter source-system lock/reference</x:v>
      </x:c>
      <x:c r="F7" s="63" t="str">
        <x:v>Enter exact accepted GRAND form set/checksum</x:v>
      </x:c>
      <x:c r="G7" s="63" t="str"/>
      <x:c r="H7" s="63" t="str"/>
      <x:c r="I7" s="63" t="str"/>
      <x:c r="J7" s="63" t="str"/>
      <x:c r="K7" s="81" t="str"/>
      <x:c r="L7" s="81" t="str"/>
      <x:c r="M7" s="81" t="str"/>
      <x:c r="N7" s="81" t="str"/>
      <x:c r="O7" s="81" t="str"/>
      <x:c r="P7" s="63" t="str"/>
      <x:c r="Q7" s="63" t="str"/>
      <x:c r="R7" s="63" t="str"/>
      <x:c r="S7" s="63" t="str">
        <x:v>Draft</x:v>
      </x:c>
      <x:c r="T7" s="63" t="str"/>
      <x:c r="U7" s="63" t="str"/>
      <x:c r="V7" s="63" t="str"/>
    </x:row>
    <x:row r="8">
      <x:c r="A8" s="58" t="str">
        <x:v>CYCLE-03</x:v>
      </x:c>
      <x:c r="B8" s="64" t="str">
        <x:v>Enter approved mode</x:v>
      </x:c>
      <x:c r="C8" s="64" t="str">
        <x:v>CYCLE-02</x:v>
      </x:c>
      <x:c r="D8" s="64" t="str">
        <x:v>Enter scope, offices, variants, and period</x:v>
      </x:c>
      <x:c r="E8" s="64" t="str">
        <x:v>Enter source-system lock/reference</x:v>
      </x:c>
      <x:c r="F8" s="64" t="str">
        <x:v>Enter exact accepted GRAND form set/checksum</x:v>
      </x:c>
      <x:c r="G8" s="64" t="str"/>
      <x:c r="H8" s="64" t="str"/>
      <x:c r="I8" s="64" t="str"/>
      <x:c r="J8" s="64" t="str"/>
      <x:c r="K8" s="82" t="str"/>
      <x:c r="L8" s="82" t="str"/>
      <x:c r="M8" s="82" t="str"/>
      <x:c r="N8" s="82" t="str"/>
      <x:c r="O8" s="82" t="str"/>
      <x:c r="P8" s="64" t="str"/>
      <x:c r="Q8" s="64" t="str"/>
      <x:c r="R8" s="64" t="str"/>
      <x:c r="S8" s="64" t="str">
        <x:v>Draft</x:v>
      </x:c>
      <x:c r="T8" s="64" t="str"/>
      <x:c r="U8" s="64" t="str"/>
      <x:c r="V8" s="64" t="str"/>
    </x:row>
  </x:sheetData>
  <x:mergeCells>
    <x:mergeCell ref="A1:V1"/>
    <x:mergeCell ref="A2:V2"/>
  </x:mergeCells>
  <x:conditionalFormatting sqref="S6:S8">
    <x:cfRule type="containsText" dxfId="25" priority="1" operator="containsText" text="Accepted"/>
    <x:cfRule type="containsText" dxfId="26" priority="2" operator="containsText" text="Pass"/>
    <x:cfRule type="containsText" dxfId="27" priority="3" operator="containsText" text="Ready"/>
    <x:cfRule type="containsText" dxfId="28" priority="4" operator="containsText" text="Blocked"/>
    <x:cfRule type="containsText" dxfId="29" priority="5" operator="containsText" text="Fail"/>
  </x:conditionalFormatting>
  <x:dataValidations count="1">
    <x:dataValidation type="list" sqref="S6:S8">
      <x:formula1>"Draft,Submitted,Accepted,Returned,Blocked"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c2b26a753c45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58" hidden="0" customWidth="1"/>
    <x:col min="4" max="4" width="22" hidden="0" customWidth="1"/>
    <x:col min="5" max="5" width="22" hidden="0" customWidth="1"/>
    <x:col min="6" max="6" width="32" hidden="0" customWidth="1"/>
  </x:cols>
  <x:sheetData>
    <x:row r="1" ht="30" customHeight="1">
      <x:c r="A1" s="146" t="str">
        <x:v>Structured two-store recovery rehearsal</x:v>
      </x:c>
      <x:c r="B1" s="146"/>
      <x:c r="C1" s="146"/>
      <x:c r="D1" s="146"/>
      <x:c r="E1" s="146"/>
      <x:c r="F1" s="146"/>
    </x:row>
    <x:row r="2" ht="34" customHeight="1">
      <x:c r="A2" s="147" t="str">
        <x:v>Record one isolated, independently witnessed rehearsal for GRAND's default and Finance stores. A planning-ready result here does not replace the immutable F11.7 evidence and cutover binding in GRAND.</x:v>
      </x:c>
      <x:c r="B2" s="147"/>
      <x:c r="C2" s="147"/>
      <x:c r="D2" s="147"/>
      <x:c r="E2" s="147"/>
      <x:c r="F2" s="147"/>
    </x:row>
    <x:row r="3">
      <x:c r="A3" s="148"/>
      <x:c r="B3" s="148"/>
      <x:c r="C3" s="148"/>
      <x:c r="D3" s="148"/>
      <x:c r="E3" s="148"/>
      <x:c r="F3" s="148"/>
    </x:row>
    <x:row r="4" ht="30" customHeight="1">
      <x:c r="A4" s="163" t="str">
        <x:v>Field</x:v>
      </x:c>
      <x:c r="B4" s="163" t="str">
        <x:v>Editable value</x:v>
      </x:c>
      <x:c r="C4" s="163" t="str">
        <x:v>Plain-language evidence / instruction</x:v>
      </x:c>
      <x:c r="D4" s="163" t="str">
        <x:v>Type</x:v>
      </x:c>
      <x:c r="E4" s="163" t="str">
        <x:v>Required</x:v>
      </x:c>
      <x:c r="F4" s="163" t="str">
        <x:v>Status / check</x:v>
      </x:c>
    </x:row>
    <x:row r="5">
      <x:c r="A5" s="91" t="str">
        <x:v>Rehearsal ID</x:v>
      </x:c>
      <x:c r="B5" s="62" t="str">
        <x:v>Enter ID</x:v>
      </x:c>
      <x:c r="C5" s="91" t="str">
        <x:v>Stable identifier used in retained evidence</x:v>
      </x:c>
      <x:c r="D5" s="91" t="str">
        <x:v>Text</x:v>
      </x:c>
      <x:c r="E5" s="91" t="str">
        <x:v>Yes</x:v>
      </x:c>
      <x:c r="F5" s="91" t="str"/>
    </x:row>
    <x:row r="6">
      <x:c r="A6" s="92" t="str">
        <x:v>Recovery cycle ID</x:v>
      </x:c>
      <x:c r="B6" s="63" t="str">
        <x:v>Enter field-cycle ID</x:v>
      </x:c>
      <x:c r="C6" s="92" t="str">
        <x:v>Must belong to the same qualifying cycle used for cutover</x:v>
      </x:c>
      <x:c r="D6" s="92" t="str">
        <x:v>Text</x:v>
      </x:c>
      <x:c r="E6" s="92" t="str">
        <x:v>Yes</x:v>
      </x:c>
      <x:c r="F6" s="92" t="str"/>
    </x:row>
    <x:row r="7">
      <x:c r="A7" s="92" t="str">
        <x:v>Backup set ID</x:v>
      </x:c>
      <x:c r="B7" s="63" t="str">
        <x:v>Enter completed-set ID</x:v>
      </x:c>
      <x:c r="C7" s="92" t="str">
        <x:v>Exact GRAND completed two-store backup set</x:v>
      </x:c>
      <x:c r="D7" s="92" t="str">
        <x:v>Text</x:v>
      </x:c>
      <x:c r="E7" s="92" t="str">
        <x:v>Yes</x:v>
      </x:c>
      <x:c r="F7" s="92" t="str"/>
    </x:row>
    <x:row r="8">
      <x:c r="A8" s="92" t="str">
        <x:v>Manifest SHA-256</x:v>
      </x:c>
      <x:c r="B8" s="63" t="str">
        <x:v>Enter SHA-256</x:v>
      </x:c>
      <x:c r="C8" s="92" t="str">
        <x:v>Compare with an independently retained value where available</x:v>
      </x:c>
      <x:c r="D8" s="92" t="str">
        <x:v>Text</x:v>
      </x:c>
      <x:c r="E8" s="92" t="str">
        <x:v>Yes</x:v>
      </x:c>
      <x:c r="F8" s="92" t="str"/>
    </x:row>
    <x:row r="9">
      <x:c r="A9" s="92" t="str">
        <x:v>Default-store artifact SHA-256</x:v>
      </x:c>
      <x:c r="B9" s="63" t="str">
        <x:v>Enter SHA-256</x:v>
      </x:c>
      <x:c r="C9" s="92" t="str">
        <x:v>Exact default-store logical dump hash</x:v>
      </x:c>
      <x:c r="D9" s="92" t="str">
        <x:v>Text</x:v>
      </x:c>
      <x:c r="E9" s="92" t="str">
        <x:v>Yes</x:v>
      </x:c>
      <x:c r="F9" s="92" t="str"/>
    </x:row>
    <x:row r="10">
      <x:c r="A10" s="92" t="str">
        <x:v>Finance-store artifact SHA-256</x:v>
      </x:c>
      <x:c r="B10" s="63" t="str">
        <x:v>Enter SHA-256</x:v>
      </x:c>
      <x:c r="C10" s="92" t="str">
        <x:v>Exact Finance-store logical dump hash</x:v>
      </x:c>
      <x:c r="D10" s="92" t="str">
        <x:v>Text</x:v>
      </x:c>
      <x:c r="E10" s="92" t="str">
        <x:v>Yes</x:v>
      </x:c>
      <x:c r="F10" s="92" t="str"/>
    </x:row>
    <x:row r="11">
      <x:c r="A11" s="92" t="str">
        <x:v>Off-host verification reference</x:v>
      </x:c>
      <x:c r="B11" s="63" t="str">
        <x:v>Enter reference</x:v>
      </x:c>
      <x:c r="C11" s="92" t="str">
        <x:v>Evidence that the copied set was reverified away from the source root</x:v>
      </x:c>
      <x:c r="D11" s="92" t="str">
        <x:v>Text</x:v>
      </x:c>
      <x:c r="E11" s="92" t="str">
        <x:v>Yes</x:v>
      </x:c>
      <x:c r="F11" s="92" t="str"/>
    </x:row>
    <x:row r="12">
      <x:c r="A12" s="92" t="str">
        <x:v>Production preflight receipt</x:v>
      </x:c>
      <x:c r="B12" s="63" t="str">
        <x:v>Enter reference</x:v>
      </x:c>
      <x:c r="C12" s="92" t="str">
        <x:v>Configuration/live preflight evidence; this does not prove restore</x:v>
      </x:c>
      <x:c r="D12" s="92" t="str">
        <x:v>Text</x:v>
      </x:c>
      <x:c r="E12" s="92" t="str">
        <x:v>Yes</x:v>
      </x:c>
      <x:c r="F12" s="92" t="str"/>
    </x:row>
    <x:row r="13">
      <x:c r="A13" s="92" t="str">
        <x:v>Approved recovery policy reference</x:v>
      </x:c>
      <x:c r="B13" s="63" t="str">
        <x:v>Enter reference</x:v>
      </x:c>
      <x:c r="C13" s="92" t="str">
        <x:v>Current approved backup/recovery policy</x:v>
      </x:c>
      <x:c r="D13" s="92" t="str">
        <x:v>Text</x:v>
      </x:c>
      <x:c r="E13" s="92" t="str">
        <x:v>Yes</x:v>
      </x:c>
      <x:c r="F13" s="92" t="str"/>
    </x:row>
    <x:row r="14">
      <x:c r="A14" s="92" t="str">
        <x:v>Approved RPO target (minutes)</x:v>
      </x:c>
      <x:c r="B14" s="98" t="str"/>
      <x:c r="C14" s="92" t="str">
        <x:v>Enter the locally approved maximum data-loss interval</x:v>
      </x:c>
      <x:c r="D14" s="92" t="str">
        <x:v>Number</x:v>
      </x:c>
      <x:c r="E14" s="92" t="str">
        <x:v>Yes</x:v>
      </x:c>
      <x:c r="F14" s="92" t="str"/>
    </x:row>
    <x:row r="15">
      <x:c r="A15" s="92" t="str">
        <x:v>Approved RTO target (minutes)</x:v>
      </x:c>
      <x:c r="B15" s="98" t="str"/>
      <x:c r="C15" s="92" t="str">
        <x:v>Enter the locally approved maximum service-recovery interval</x:v>
      </x:c>
      <x:c r="D15" s="92" t="str">
        <x:v>Number</x:v>
      </x:c>
      <x:c r="E15" s="92" t="str">
        <x:v>Yes</x:v>
      </x:c>
      <x:c r="F15" s="92" t="str"/>
    </x:row>
    <x:row r="16">
      <x:c r="A16" s="92" t="str">
        <x:v>Backup data as-of</x:v>
      </x:c>
      <x:c r="B16" s="98" t="str"/>
      <x:c r="C16" s="92" t="str">
        <x:v>Timestamp represented by restored data</x:v>
      </x:c>
      <x:c r="D16" s="92" t="str">
        <x:v>Date/time</x:v>
      </x:c>
      <x:c r="E16" s="92" t="str">
        <x:v>Yes</x:v>
      </x:c>
      <x:c r="F16" s="92" t="str"/>
    </x:row>
    <x:row r="17">
      <x:c r="A17" s="92" t="str">
        <x:v>Failure / cutover start</x:v>
      </x:c>
      <x:c r="B17" s="98" t="str"/>
      <x:c r="C17" s="92" t="str">
        <x:v>Approved start timestamp used for RPO/RTO measurement</x:v>
      </x:c>
      <x:c r="D17" s="92" t="str">
        <x:v>Date/time</x:v>
      </x:c>
      <x:c r="E17" s="92" t="str">
        <x:v>Yes</x:v>
      </x:c>
      <x:c r="F17" s="92" t="str"/>
    </x:row>
    <x:row r="18">
      <x:c r="A18" s="92" t="str">
        <x:v>Restore start</x:v>
      </x:c>
      <x:c r="B18" s="63" t="str"/>
      <x:c r="C18" s="92" t="str">
        <x:v>When isolated restore work began</x:v>
      </x:c>
      <x:c r="D18" s="92" t="str">
        <x:v>Date/time</x:v>
      </x:c>
      <x:c r="E18" s="92" t="str">
        <x:v>Yes</x:v>
      </x:c>
      <x:c r="F18" s="92" t="str"/>
    </x:row>
    <x:row r="19">
      <x:c r="A19" s="92" t="str">
        <x:v>Control acceptance completed</x:v>
      </x:c>
      <x:c r="B19" s="63" t="str"/>
      <x:c r="C19" s="92" t="str">
        <x:v>When all recovery checks and reconciliation completed</x:v>
      </x:c>
      <x:c r="D19" s="92" t="str">
        <x:v>Date/time</x:v>
      </x:c>
      <x:c r="E19" s="92" t="str">
        <x:v>Yes</x:v>
      </x:c>
      <x:c r="F19" s="92" t="str"/>
    </x:row>
    <x:row r="20">
      <x:c r="A20" s="92" t="str">
        <x:v>Isolated host / environment reference</x:v>
      </x:c>
      <x:c r="B20" s="63" t="str">
        <x:v>Enter reference</x:v>
      </x:c>
      <x:c r="C20" s="92" t="str">
        <x:v>Non-production restore environment identity</x:v>
      </x:c>
      <x:c r="D20" s="92" t="str">
        <x:v>Text</x:v>
      </x:c>
      <x:c r="E20" s="92" t="str">
        <x:v>Yes</x:v>
      </x:c>
      <x:c r="F20" s="92" t="str"/>
    </x:row>
    <x:row r="21">
      <x:c r="A21" s="92" t="str">
        <x:v>Release / commit reference</x:v>
      </x:c>
      <x:c r="B21" s="63" t="str">
        <x:v>Enter reference</x:v>
      </x:c>
      <x:c r="C21" s="92" t="str">
        <x:v>Exact application release tested</x:v>
      </x:c>
      <x:c r="D21" s="92" t="str">
        <x:v>Text</x:v>
      </x:c>
      <x:c r="E21" s="92" t="str">
        <x:v>Yes</x:v>
      </x:c>
      <x:c r="F21" s="92" t="str"/>
    </x:row>
    <x:row r="22">
      <x:c r="A22" s="92" t="str">
        <x:v>Default-store database reference</x:v>
      </x:c>
      <x:c r="B22" s="63" t="str">
        <x:v>Enter reference</x:v>
      </x:c>
      <x:c r="C22" s="92" t="str">
        <x:v>Credential-free restored database identity</x:v>
      </x:c>
      <x:c r="D22" s="92" t="str">
        <x:v>Text</x:v>
      </x:c>
      <x:c r="E22" s="92" t="str">
        <x:v>Yes</x:v>
      </x:c>
      <x:c r="F22" s="92" t="str"/>
    </x:row>
    <x:row r="23">
      <x:c r="A23" s="92" t="str">
        <x:v>Finance-store database reference</x:v>
      </x:c>
      <x:c r="B23" s="63" t="str">
        <x:v>Enter reference</x:v>
      </x:c>
      <x:c r="C23" s="92" t="str">
        <x:v>Credential-free restored database identity</x:v>
      </x:c>
      <x:c r="D23" s="92" t="str">
        <x:v>Text</x:v>
      </x:c>
      <x:c r="E23" s="92" t="str">
        <x:v>Yes</x:v>
      </x:c>
      <x:c r="F23" s="92" t="str"/>
    </x:row>
    <x:row r="24">
      <x:c r="A24" s="92" t="str">
        <x:v>Restore log reference</x:v>
      </x:c>
      <x:c r="B24" s="63" t="str">
        <x:v>Enter reference</x:v>
      </x:c>
      <x:c r="C24" s="92" t="str">
        <x:v>Retained logs for both stores</x:v>
      </x:c>
      <x:c r="D24" s="92" t="str">
        <x:v>Text</x:v>
      </x:c>
      <x:c r="E24" s="92" t="str">
        <x:v>Yes</x:v>
      </x:c>
      <x:c r="F24" s="92" t="str"/>
    </x:row>
    <x:row r="25">
      <x:c r="A25" s="92" t="str">
        <x:v>Both routed stores restored</x:v>
      </x:c>
      <x:c r="B25" s="63" t="str">
        <x:v>No</x:v>
      </x:c>
      <x:c r="C25" s="92" t="str">
        <x:v>Confirm default and Finance stores were restored</x:v>
      </x:c>
      <x:c r="D25" s="92" t="str">
        <x:v>Yes/No</x:v>
      </x:c>
      <x:c r="E25" s="92" t="str">
        <x:v>Yes</x:v>
      </x:c>
      <x:c r="F25" s="92" t="str"/>
    </x:row>
    <x:row r="26">
      <x:c r="A26" s="92" t="str">
        <x:v>Current migrations applied</x:v>
      </x:c>
      <x:c r="B26" s="63" t="str">
        <x:v>No</x:v>
      </x:c>
      <x:c r="C26" s="92" t="str">
        <x:v>Confirm both stores reached the tested migration state</x:v>
      </x:c>
      <x:c r="D26" s="92" t="str">
        <x:v>Yes/No</x:v>
      </x:c>
      <x:c r="E26" s="92" t="str">
        <x:v>Yes</x:v>
      </x:c>
      <x:c r="F26" s="92" t="str"/>
    </x:row>
    <x:row r="27">
      <x:c r="A27" s="92" t="str">
        <x:v>Control totals reconciled</x:v>
      </x:c>
      <x:c r="B27" s="63" t="str">
        <x:v>No</x:v>
      </x:c>
      <x:c r="C27" s="92" t="str">
        <x:v>Confirm approved counts/amounts and ledger/report controls</x:v>
      </x:c>
      <x:c r="D27" s="92" t="str">
        <x:v>Yes/No</x:v>
      </x:c>
      <x:c r="E27" s="92" t="str">
        <x:v>Yes</x:v>
      </x:c>
      <x:c r="F27" s="92" t="str"/>
    </x:row>
    <x:row r="28">
      <x:c r="A28" s="92" t="str">
        <x:v>Cross-store case worked</x:v>
      </x:c>
      <x:c r="B28" s="63" t="str">
        <x:v>No</x:v>
      </x:c>
      <x:c r="C28" s="92" t="str">
        <x:v>Complete one representative end-to-end case spanning both stores</x:v>
      </x:c>
      <x:c r="D28" s="92" t="str">
        <x:v>Yes/No</x:v>
      </x:c>
      <x:c r="E28" s="92" t="str">
        <x:v>Yes</x:v>
      </x:c>
      <x:c r="F28" s="92" t="str"/>
    </x:row>
    <x:row r="29">
      <x:c r="A29" s="92" t="str">
        <x:v>Required runtime files checked</x:v>
      </x:c>
      <x:c r="B29" s="63" t="str">
        <x:v>No</x:v>
      </x:c>
      <x:c r="C29" s="92" t="str">
        <x:v>Confirm applicable media/export/backup/static runtime boundaries</x:v>
      </x:c>
      <x:c r="D29" s="92" t="str">
        <x:v>Yes/No</x:v>
      </x:c>
      <x:c r="E29" s="92" t="str">
        <x:v>Yes</x:v>
      </x:c>
      <x:c r="F29" s="92" t="str"/>
    </x:row>
    <x:row r="30">
      <x:c r="A30" s="92" t="str">
        <x:v>Isolated data securely disposed</x:v>
      </x:c>
      <x:c r="B30" s="63" t="str">
        <x:v>No</x:v>
      </x:c>
      <x:c r="C30" s="92" t="str">
        <x:v>Retain authorized disposal evidence</x:v>
      </x:c>
      <x:c r="D30" s="92" t="str">
        <x:v>Yes/No</x:v>
      </x:c>
      <x:c r="E30" s="92" t="str">
        <x:v>Yes</x:v>
      </x:c>
      <x:c r="F30" s="92" t="str"/>
    </x:row>
    <x:row r="31">
      <x:c r="A31" s="92" t="str">
        <x:v>Every exception resolved</x:v>
      </x:c>
      <x:c r="B31" s="63" t="str">
        <x:v>No</x:v>
      </x:c>
      <x:c r="C31" s="92" t="str">
        <x:v>No open recovery exception may remain</x:v>
      </x:c>
      <x:c r="D31" s="92" t="str">
        <x:v>Yes/No</x:v>
      </x:c>
      <x:c r="E31" s="92" t="str">
        <x:v>Yes</x:v>
      </x:c>
      <x:c r="F31" s="92" t="str"/>
    </x:row>
    <x:row r="32">
      <x:c r="A32" s="92" t="str">
        <x:v>Exception / resolution reference</x:v>
      </x:c>
      <x:c r="B32" s="63" t="str"/>
      <x:c r="C32" s="92" t="str">
        <x:v>Required when any exception occurred</x:v>
      </x:c>
      <x:c r="D32" s="92" t="str">
        <x:v>Text</x:v>
      </x:c>
      <x:c r="E32" s="92" t="str">
        <x:v>Conditional</x:v>
      </x:c>
      <x:c r="F32" s="92" t="str"/>
    </x:row>
    <x:row r="33">
      <x:c r="A33" s="92" t="str">
        <x:v>Recovery owner</x:v>
      </x:c>
      <x:c r="B33" s="63" t="str">
        <x:v>Enter owner</x:v>
      </x:c>
      <x:c r="C33" s="92" t="str">
        <x:v>Person who performed the rehearsal</x:v>
      </x:c>
      <x:c r="D33" s="92" t="str">
        <x:v>Text</x:v>
      </x:c>
      <x:c r="E33" s="92" t="str">
        <x:v>Yes</x:v>
      </x:c>
      <x:c r="F33" s="92" t="str"/>
    </x:row>
    <x:row r="34">
      <x:c r="A34" s="92" t="str">
        <x:v>Different witness</x:v>
      </x:c>
      <x:c r="B34" s="63" t="str">
        <x:v>Enter witness</x:v>
      </x:c>
      <x:c r="C34" s="92" t="str">
        <x:v>Must be different from recovery owner</x:v>
      </x:c>
      <x:c r="D34" s="92" t="str">
        <x:v>Text</x:v>
      </x:c>
      <x:c r="E34" s="92" t="str">
        <x:v>Yes</x:v>
      </x:c>
      <x:c r="F34" s="92" t="str"/>
    </x:row>
    <x:row r="35">
      <x:c r="A35" s="93" t="str">
        <x:v>Evidence package reference</x:v>
      </x:c>
      <x:c r="B35" s="97" t="str">
        <x:v>Enter reference</x:v>
      </x:c>
      <x:c r="C35" s="93" t="str">
        <x:v>Immutable GRAND/TraceSync evidence package</x:v>
      </x:c>
      <x:c r="D35" s="93" t="str">
        <x:v>Text</x:v>
      </x:c>
      <x:c r="E35" s="93" t="str">
        <x:v>Yes</x:v>
      </x:c>
      <x:c r="F35" s="93" t="str"/>
    </x:row>
    <x:row r="36">
      <x:c r="A36" s="148"/>
      <x:c r="B36" s="148"/>
      <x:c r="C36" s="148"/>
      <x:c r="D36" s="148"/>
      <x:c r="E36" s="148"/>
      <x:c r="F36" s="148"/>
    </x:row>
    <x:row r="37" ht="24" customHeight="1">
      <x:c r="A37" s="164" t="str">
        <x:v>Formula-driven planning checks</x:v>
      </x:c>
      <x:c r="B37" s="164"/>
      <x:c r="C37" s="164"/>
      <x:c r="D37" s="164"/>
      <x:c r="E37" s="164"/>
      <x:c r="F37" s="164"/>
    </x:row>
    <x:row r="38" ht="22" customHeight="1">
      <x:c r="A38" s="165" t="str">
        <x:v>Actual RPO (minutes)</x:v>
      </x:c>
      <x:c r="B38" s="166" t="str">
        <x:f>IF(OR(B16="",B17=""),"",(B17-B16)*1440)</x:f>
      </x:c>
      <x:c r="C38" s="148"/>
      <x:c r="D38" s="148"/>
      <x:c r="E38" s="148"/>
      <x:c r="F38" s="148"/>
    </x:row>
    <x:row r="39" ht="22" customHeight="1">
      <x:c r="A39" s="165" t="str">
        <x:v>Actual RTO (minutes)</x:v>
      </x:c>
      <x:c r="B39" s="166" t="str">
        <x:f>IF(OR(B17="",B19=""),"",(B19-B17)*1440)</x:f>
      </x:c>
      <x:c r="C39" s="148"/>
      <x:c r="D39" s="148"/>
      <x:c r="E39" s="148"/>
      <x:c r="F39" s="148"/>
    </x:row>
    <x:row r="40" ht="22" customHeight="1">
      <x:c r="A40" s="165" t="str">
        <x:v>Within RPO</x:v>
      </x:c>
      <x:c r="B40" s="167" t="str">
        <x:f>IF(OR(B38="",B14=""),"Incomplete",IF(B38&lt;=B14,"Pass","Fail"))</x:f>
        <x:v>Incomplete</x:v>
      </x:c>
      <x:c r="C40" s="148"/>
      <x:c r="D40" s="148"/>
      <x:c r="E40" s="148"/>
      <x:c r="F40" s="148"/>
    </x:row>
    <x:row r="41" ht="22" customHeight="1">
      <x:c r="A41" s="165" t="str">
        <x:v>Within RTO</x:v>
      </x:c>
      <x:c r="B41" s="167" t="str">
        <x:f>IF(OR(B39="",B15=""),"Incomplete",IF(B39&lt;=B15,"Pass","Fail"))</x:f>
        <x:v>Incomplete</x:v>
      </x:c>
      <x:c r="C41" s="148"/>
      <x:c r="D41" s="148"/>
      <x:c r="E41" s="148"/>
      <x:c r="F41" s="148"/>
    </x:row>
    <x:row r="42" ht="22" customHeight="1">
      <x:c r="A42" s="165" t="str">
        <x:v>Planning readiness</x:v>
      </x:c>
      <x:c r="B42" s="167" t="str">
        <x:f>IF(AND(B40="Pass",B41="Pass",COUNTIF(B25:B31,"Yes")=7,B33&lt;&gt;B34,B33&lt;&gt;"",B34&lt;&gt;"",B35&lt;&gt;""),"Ready for witness review","Incomplete or blocked")</x:f>
        <x:v>Incomplete or blocked</x:v>
      </x:c>
      <x:c r="C42" s="148"/>
      <x:c r="D42" s="148"/>
      <x:c r="E42" s="148"/>
      <x:c r="F42" s="148"/>
    </x:row>
  </x:sheetData>
  <x:mergeCells>
    <x:mergeCell ref="A1:F1"/>
    <x:mergeCell ref="A2:F2"/>
    <x:mergeCell ref="A37:F37"/>
  </x:mergeCells>
  <x:conditionalFormatting sqref="B40:B42">
    <x:cfRule type="containsText" dxfId="30" priority="1" operator="containsText" text="Accepted"/>
    <x:cfRule type="containsText" dxfId="31" priority="2" operator="containsText" text="Pass"/>
    <x:cfRule type="containsText" dxfId="32" priority="3" operator="containsText" text="Ready"/>
    <x:cfRule type="containsText" dxfId="33" priority="4" operator="containsText" text="Blocked"/>
    <x:cfRule type="containsText" dxfId="34" priority="5" operator="containsText" text="Fail"/>
  </x:conditionalFormatting>
  <x:dataValidations count="1">
    <x:dataValidation type="list" sqref="B25:B31">
      <x:formula1>"Yes,No"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48" hidden="0" customWidth="1"/>
    <x:col min="4" max="4" width="38" hidden="0" customWidth="1"/>
    <x:col min="5" max="5" width="36" hidden="0" customWidth="1"/>
    <x:col min="6" max="6" width="22" hidden="0" customWidth="1"/>
    <x:col min="7" max="7" width="15" hidden="0" customWidth="1"/>
    <x:col min="8" max="8" width="32" hidden="0" customWidth="1"/>
    <x:col min="9" max="9" width="18" hidden="0" customWidth="1"/>
    <x:col min="10" max="10" width="38" hidden="0" customWidth="1"/>
    <x:col min="11" max="11" width="28" hidden="0" customWidth="1"/>
    <x:col min="12" max="12" width="16" hidden="0" customWidth="1"/>
    <x:col min="13" max="13" width="22" hidden="0" customWidth="1"/>
    <x:col min="14" max="14" width="36" hidden="0" customWidth="1"/>
  </x:cols>
  <x:sheetData>
    <x:row r="1" ht="30" customHeight="1">
      <x:c r="A1" s="146" t="str">
        <x:v>Local decisions and unresolved questions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</x:row>
    <x:row r="2" ht="34" customHeight="1">
      <x:c r="A2" s="147" t="str">
        <x:v>Record the choice, official/local basis, owner, effective scope, and retained evidence. A blank or unresolved decision remains a visible blocker; do not encode assumptions as accepted policy.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</x:row>
    <x:row r="3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  <x:c r="M3" s="148"/>
      <x:c r="N3" s="148"/>
    </x:row>
    <x:row r="4">
      <x:c r="A4" s="148"/>
      <x:c r="B4" s="148"/>
      <x:c r="C4" s="148"/>
      <x:c r="D4" s="148"/>
      <x:c r="E4" s="148"/>
      <x:c r="F4" s="148"/>
      <x:c r="G4" s="148"/>
      <x:c r="H4" s="148"/>
      <x:c r="I4" s="148"/>
      <x:c r="J4" s="148"/>
      <x:c r="K4" s="148"/>
      <x:c r="L4" s="148"/>
      <x:c r="M4" s="148"/>
      <x:c r="N4" s="148"/>
    </x:row>
    <x:row r="5" ht="32" customHeight="1">
      <x:c r="A5" s="160" t="str">
        <x:v>Decision ID</x:v>
      </x:c>
      <x:c r="B5" s="161" t="str">
        <x:v>Topic</x:v>
      </x:c>
      <x:c r="C5" s="161" t="str">
        <x:v>Question</x:v>
      </x:c>
      <x:c r="D5" s="161" t="str">
        <x:v>Options considered</x:v>
      </x:c>
      <x:c r="E5" s="161" t="str">
        <x:v>Official / local basis</x:v>
      </x:c>
      <x:c r="F5" s="161" t="str">
        <x:v>Decision owner</x:v>
      </x:c>
      <x:c r="G5" s="161" t="str">
        <x:v>Due date</x:v>
      </x:c>
      <x:c r="H5" s="161" t="str">
        <x:v>Effective scope</x:v>
      </x:c>
      <x:c r="I5" s="161" t="str">
        <x:v>Status</x:v>
      </x:c>
      <x:c r="J5" s="161" t="str">
        <x:v>Decision</x:v>
      </x:c>
      <x:c r="K5" s="161" t="str">
        <x:v>Authority / evidence ref</x:v>
      </x:c>
      <x:c r="L5" s="161" t="str">
        <x:v>Effectivity</x:v>
      </x:c>
      <x:c r="M5" s="161" t="str">
        <x:v>Successor / supersedes</x:v>
      </x:c>
      <x:c r="N5" s="162" t="str">
        <x:v>Notes</x:v>
      </x:c>
    </x:row>
    <x:row r="6">
      <x:c r="A6" s="56" t="str">
        <x:v>DEC-01</x:v>
      </x:c>
      <x:c r="B6" s="56" t="str">
        <x:v>Applicable form set</x:v>
      </x:c>
      <x:c r="C6" s="56" t="str">
        <x:v>Which DBM/COA/local forms and revisions apply to this LGU and fiscal year?</x:v>
      </x:c>
      <x:c r="D6" s="62" t="str">
        <x:v>Enter considered options</x:v>
      </x:c>
      <x:c r="E6" s="62" t="str">
        <x:v>Enter official/local basis</x:v>
      </x:c>
      <x:c r="F6" s="62" t="str">
        <x:v>Enter decision owner</x:v>
      </x:c>
      <x:c r="G6" s="71" t="str"/>
      <x:c r="H6" s="62" t="str">
        <x:v>Enter affected forms/offices/period</x:v>
      </x:c>
      <x:c r="I6" s="62" t="str">
        <x:v>Unresolved</x:v>
      </x:c>
      <x:c r="J6" s="62" t="str"/>
      <x:c r="K6" s="62" t="str"/>
      <x:c r="L6" s="71" t="str"/>
      <x:c r="M6" s="62" t="str"/>
      <x:c r="N6" s="62" t="str"/>
    </x:row>
    <x:row r="7">
      <x:c r="A7" s="57" t="str">
        <x:v>DEC-02</x:v>
      </x:c>
      <x:c r="B7" s="57" t="str">
        <x:v>Owners and signatories</x:v>
      </x:c>
      <x:c r="C7" s="57" t="str">
        <x:v>Who prepares, reviews, certifies, approves, signs, receives, and retains each form?</x:v>
      </x:c>
      <x:c r="D7" s="63" t="str">
        <x:v>Enter considered options</x:v>
      </x:c>
      <x:c r="E7" s="63" t="str">
        <x:v>Enter official/local basis</x:v>
      </x:c>
      <x:c r="F7" s="63" t="str">
        <x:v>Enter decision owner</x:v>
      </x:c>
      <x:c r="G7" s="72" t="str"/>
      <x:c r="H7" s="63" t="str">
        <x:v>Enter affected forms/offices/period</x:v>
      </x:c>
      <x:c r="I7" s="63" t="str">
        <x:v>Unresolved</x:v>
      </x:c>
      <x:c r="J7" s="63" t="str"/>
      <x:c r="K7" s="63" t="str"/>
      <x:c r="L7" s="72" t="str"/>
      <x:c r="M7" s="63" t="str"/>
      <x:c r="N7" s="63" t="str"/>
    </x:row>
    <x:row r="8">
      <x:c r="A8" s="57" t="str">
        <x:v>DEC-03</x:v>
      </x:c>
      <x:c r="B8" s="57" t="str">
        <x:v>Transaction variants</x:v>
      </x:c>
      <x:c r="C8" s="57" t="str">
        <x:v>Which payment/claim variants and exact documentary requirements are enabled?</x:v>
      </x:c>
      <x:c r="D8" s="63" t="str">
        <x:v>Enter considered options</x:v>
      </x:c>
      <x:c r="E8" s="63" t="str">
        <x:v>Enter official/local basis</x:v>
      </x:c>
      <x:c r="F8" s="63" t="str">
        <x:v>Enter decision owner</x:v>
      </x:c>
      <x:c r="G8" s="72" t="str"/>
      <x:c r="H8" s="63" t="str">
        <x:v>Enter affected forms/offices/period</x:v>
      </x:c>
      <x:c r="I8" s="63" t="str">
        <x:v>Unresolved</x:v>
      </x:c>
      <x:c r="J8" s="63" t="str"/>
      <x:c r="K8" s="63" t="str"/>
      <x:c r="L8" s="72" t="str"/>
      <x:c r="M8" s="63" t="str"/>
      <x:c r="N8" s="63" t="str"/>
    </x:row>
    <x:row r="9">
      <x:c r="A9" s="57" t="str">
        <x:v>DEC-04</x:v>
      </x:c>
      <x:c r="B9" s="57" t="str">
        <x:v>Modification boundary</x:v>
      </x:c>
      <x:c r="C9" s="57" t="str">
        <x:v>Which pre-DV/check guided edits are allowed, and which events require return/successor/reversal/cancellation/replacement?</x:v>
      </x:c>
      <x:c r="D9" s="63" t="str">
        <x:v>Enter considered options</x:v>
      </x:c>
      <x:c r="E9" s="63" t="str">
        <x:v>Enter official/local basis</x:v>
      </x:c>
      <x:c r="F9" s="63" t="str">
        <x:v>Enter decision owner</x:v>
      </x:c>
      <x:c r="G9" s="72" t="str"/>
      <x:c r="H9" s="63" t="str">
        <x:v>Enter affected forms/offices/period</x:v>
      </x:c>
      <x:c r="I9" s="63" t="str">
        <x:v>Unresolved</x:v>
      </x:c>
      <x:c r="J9" s="63" t="str"/>
      <x:c r="K9" s="63" t="str"/>
      <x:c r="L9" s="72" t="str"/>
      <x:c r="M9" s="63" t="str"/>
      <x:c r="N9" s="63" t="str"/>
    </x:row>
    <x:row r="10">
      <x:c r="A10" s="57" t="str">
        <x:v>DEC-05</x:v>
      </x:c>
      <x:c r="B10" s="57" t="str">
        <x:v>Print and form stock</x:v>
      </x:c>
      <x:c r="C10" s="57" t="str">
        <x:v>Which printers, paper sizes, copies, form stock, signatures, margins, and overflow rules are accepted?</x:v>
      </x:c>
      <x:c r="D10" s="63" t="str">
        <x:v>Enter considered options</x:v>
      </x:c>
      <x:c r="E10" s="63" t="str">
        <x:v>Enter official/local basis</x:v>
      </x:c>
      <x:c r="F10" s="63" t="str">
        <x:v>Enter decision owner</x:v>
      </x:c>
      <x:c r="G10" s="72" t="str"/>
      <x:c r="H10" s="63" t="str">
        <x:v>Enter affected forms/offices/period</x:v>
      </x:c>
      <x:c r="I10" s="63" t="str">
        <x:v>Unresolved</x:v>
      </x:c>
      <x:c r="J10" s="63" t="str"/>
      <x:c r="K10" s="63" t="str"/>
      <x:c r="L10" s="72" t="str"/>
      <x:c r="M10" s="63" t="str"/>
      <x:c r="N10" s="63" t="str"/>
    </x:row>
    <x:row r="11">
      <x:c r="A11" s="57" t="str">
        <x:v>DEC-06</x:v>
      </x:c>
      <x:c r="B11" s="57" t="str">
        <x:v>Reporting and export custody</x:v>
      </x:c>
      <x:c r="C11" s="57" t="str">
        <x:v>Which reports, cadences, recipients, retention rules, export root, and TraceSync/off-host custody routes apply?</x:v>
      </x:c>
      <x:c r="D11" s="63" t="str">
        <x:v>Enter considered options</x:v>
      </x:c>
      <x:c r="E11" s="63" t="str">
        <x:v>Enter official/local basis</x:v>
      </x:c>
      <x:c r="F11" s="63" t="str">
        <x:v>Enter decision owner</x:v>
      </x:c>
      <x:c r="G11" s="72" t="str"/>
      <x:c r="H11" s="63" t="str">
        <x:v>Enter affected forms/offices/period</x:v>
      </x:c>
      <x:c r="I11" s="63" t="str">
        <x:v>Unresolved</x:v>
      </x:c>
      <x:c r="J11" s="63" t="str"/>
      <x:c r="K11" s="63" t="str"/>
      <x:c r="L11" s="72" t="str"/>
      <x:c r="M11" s="63" t="str"/>
      <x:c r="N11" s="63" t="str"/>
    </x:row>
    <x:row r="12">
      <x:c r="A12" s="58" t="str">
        <x:v>DEC-07</x:v>
      </x:c>
      <x:c r="B12" s="58" t="str">
        <x:v>Recovery and cutover authority</x:v>
      </x:c>
      <x:c r="C12" s="58" t="str">
        <x:v>What RPO/RTO, rehearsal evidence, rollback trigger, consecutive cycles, and named approvals authorize cutover?</x:v>
      </x:c>
      <x:c r="D12" s="64" t="str">
        <x:v>Enter considered options</x:v>
      </x:c>
      <x:c r="E12" s="64" t="str">
        <x:v>Enter official/local basis</x:v>
      </x:c>
      <x:c r="F12" s="64" t="str">
        <x:v>Enter decision owner</x:v>
      </x:c>
      <x:c r="G12" s="73" t="str"/>
      <x:c r="H12" s="64" t="str">
        <x:v>Enter affected forms/offices/period</x:v>
      </x:c>
      <x:c r="I12" s="64" t="str">
        <x:v>Unresolved</x:v>
      </x:c>
      <x:c r="J12" s="64" t="str"/>
      <x:c r="K12" s="64" t="str"/>
      <x:c r="L12" s="73" t="str"/>
      <x:c r="M12" s="64" t="str"/>
      <x:c r="N12" s="64" t="str"/>
    </x:row>
  </x:sheetData>
  <x:mergeCells>
    <x:mergeCell ref="A1:N1"/>
    <x:mergeCell ref="A2:N2"/>
  </x:mergeCells>
  <x:conditionalFormatting sqref="I6:I12">
    <x:cfRule type="containsText" dxfId="35" priority="1" operator="containsText" text="Accepted"/>
    <x:cfRule type="containsText" dxfId="36" priority="2" operator="containsText" text="Pass"/>
    <x:cfRule type="containsText" dxfId="37" priority="3" operator="containsText" text="Ready"/>
    <x:cfRule type="containsText" dxfId="38" priority="4" operator="containsText" text="Blocked"/>
    <x:cfRule type="containsText" dxfId="39" priority="5" operator="containsText" text="Fail"/>
  </x:conditionalFormatting>
  <x:dataValidations count="1">
    <x:dataValidation type="list" sqref="I6:I12">
      <x:formula1>"Unresolved,Proposed,Approved - local,Rejected,Superseded"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86fbcabb5545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0" hidden="0" customWidth="1"/>
    <x:col min="3" max="3" width="18" hidden="0" customWidth="1"/>
    <x:col min="4" max="4" width="18" hidden="0" customWidth="1"/>
    <x:col min="5" max="5" width="45" hidden="0" customWidth="1"/>
    <x:col min="6" max="6" width="28" hidden="0" customWidth="1"/>
    <x:col min="7" max="7" width="26" hidden="0" customWidth="1"/>
  </x:cols>
  <x:sheetData>
    <x:row r="1" ht="30" customHeight="1">
      <x:c r="A1" s="146" t="str">
        <x:v>Planning and field-evidence summary</x:v>
      </x:c>
      <x:c r="B1" s="146"/>
      <x:c r="C1" s="146"/>
      <x:c r="D1" s="146"/>
      <x:c r="E1" s="146"/>
      <x:c r="F1" s="146"/>
      <x:c r="G1" s="146"/>
    </x:row>
    <x:row r="2" ht="34" customHeight="1">
      <x:c r="A2" s="147" t="str">
        <x:v>This dashboard is a worksheet-level readiness aid only. Governed acceptance, immutable evidence, authority decisions, and cutover remain in GRAND's F10/F11 workflows.</x:v>
      </x:c>
      <x:c r="B2" s="147"/>
      <x:c r="C2" s="147"/>
      <x:c r="D2" s="147"/>
      <x:c r="E2" s="147"/>
      <x:c r="F2" s="147"/>
      <x:c r="G2" s="147"/>
    </x:row>
    <x:row r="3">
      <x:c r="A3" s="148"/>
      <x:c r="B3" s="148"/>
      <x:c r="C3" s="148"/>
      <x:c r="D3" s="148"/>
      <x:c r="E3" s="148"/>
      <x:c r="F3" s="148"/>
      <x:c r="G3" s="148"/>
    </x:row>
    <x:row r="4">
      <x:c r="A4" s="168" t="str">
        <x:v>PLANNING / FIELD EVIDENCE ONLY — NOT AN OFFICIAL-USE OR CUTOVER AUTHORIZATION</x:v>
      </x:c>
      <x:c r="B4" s="169"/>
      <x:c r="C4" s="169"/>
      <x:c r="D4" s="169"/>
      <x:c r="E4" s="169"/>
      <x:c r="F4" s="169"/>
      <x:c r="G4" s="170"/>
    </x:row>
    <x:row r="5">
      <x:c r="A5" s="171"/>
      <x:c r="B5" s="172"/>
      <x:c r="C5" s="172"/>
      <x:c r="D5" s="172"/>
      <x:c r="E5" s="172"/>
      <x:c r="F5" s="172"/>
      <x:c r="G5" s="173"/>
    </x:row>
    <x:row r="6">
      <x:c r="A6" s="148"/>
      <x:c r="B6" s="148"/>
      <x:c r="C6" s="148"/>
      <x:c r="D6" s="148"/>
      <x:c r="E6" s="148"/>
      <x:c r="F6" s="148"/>
      <x:c r="G6" s="148"/>
    </x:row>
    <x:row r="7" ht="26" customHeight="1">
      <x:c r="A7" s="174" t="str">
        <x:v>Readiness measure</x:v>
      </x:c>
      <x:c r="B7" s="174" t="str">
        <x:v>Total</x:v>
      </x:c>
      <x:c r="C7" s="174" t="str">
        <x:v>Completed / accepted</x:v>
      </x:c>
      <x:c r="D7" s="174" t="str">
        <x:v>Open / remaining</x:v>
      </x:c>
      <x:c r="E7" s="174" t="str">
        <x:v>Interpretation</x:v>
      </x:c>
      <x:c r="F7" s="148"/>
      <x:c r="G7" s="148"/>
    </x:row>
    <x:row r="8" ht="40" customHeight="1">
      <x:c r="A8" s="91" t="str">
        <x:v>Official forms</x:v>
      </x:c>
      <x:c r="B8" s="131" t="n">
        <x:f>COUNTA('Official Form Register'!B6:B36)</x:f>
        <x:v>31</x:v>
      </x:c>
      <x:c r="C8" s="131" t="n">
        <x:f>COUNTIF('Official Form Register'!I6:I36,"Accepted - local")</x:f>
        <x:v>0</x:v>
      </x:c>
      <x:c r="D8" s="131" t="n">
        <x:f>B8-C8</x:f>
        <x:v>31</x:v>
      </x:c>
      <x:c r="E8" s="91" t="str">
        <x:v>Every applicable form still needs local authority, exact revision, mapping, tests, and independent acceptance.</x:v>
      </x:c>
      <x:c r="F8" s="148"/>
      <x:c r="G8" s="148"/>
    </x:row>
    <x:row r="9" ht="40" customHeight="1">
      <x:c r="A9" s="92" t="str">
        <x:v>Candidate field mappings</x:v>
      </x:c>
      <x:c r="B9" s="132" t="n">
        <x:f>COUNTA('Field Mapping'!N6:N30)</x:f>
        <x:v>25</x:v>
      </x:c>
      <x:c r="C9" s="132" t="n">
        <x:f>COUNTIF('Field Mapping'!J6:J30,"Accepted - local")</x:f>
        <x:v>0</x:v>
      </x:c>
      <x:c r="D9" s="132" t="n">
        <x:f>B9-C9</x:f>
        <x:v>25</x:v>
      </x:c>
      <x:c r="E9" s="92" t="str">
        <x:v>Starter rows cover representative fields; accepted mappings must follow the exact retained local form.</x:v>
      </x:c>
      <x:c r="F9" s="148"/>
      <x:c r="G9" s="148"/>
    </x:row>
    <x:row r="10" ht="40" customHeight="1">
      <x:c r="A10" s="92" t="str">
        <x:v>COA documentary rule variants</x:v>
      </x:c>
      <x:c r="B10" s="132" t="n">
        <x:f>COUNTA('COA Document Rules'!A6:A15)</x:f>
        <x:v>10</x:v>
      </x:c>
      <x:c r="C10" s="132" t="n">
        <x:f>COUNTIF('COA Document Rules'!J6:J15,"Approved - local")</x:f>
        <x:v>0</x:v>
      </x:c>
      <x:c r="D10" s="132" t="n">
        <x:f>B10-C10</x:f>
        <x:v>10</x:v>
      </x:c>
      <x:c r="E10" s="92" t="str">
        <x:v>Placeholders intentionally remain incomplete until exact current requirements are verified.</x:v>
      </x:c>
      <x:c r="F10" s="148"/>
      <x:c r="G10" s="148"/>
    </x:row>
    <x:row r="11" ht="40" customHeight="1">
      <x:c r="A11" s="92" t="str">
        <x:v>Practical tests</x:v>
      </x:c>
      <x:c r="B11" s="132" t="n">
        <x:f>COUNTA('Practical Tests'!A6:A12)</x:f>
        <x:v>7</x:v>
      </x:c>
      <x:c r="C11" s="132" t="n">
        <x:f>COUNTIF('Practical Tests'!K6:K12,"Pass")</x:f>
        <x:v>0</x:v>
      </x:c>
      <x:c r="D11" s="132" t="n">
        <x:f>B11-C11</x:f>
        <x:v>7</x:v>
      </x:c>
      <x:c r="E11" s="92" t="str">
        <x:v>All seven categories must pass for each accepted form/version, not merely once for the workbook.</x:v>
      </x:c>
      <x:c r="F11" s="148"/>
      <x:c r="G11" s="148"/>
    </x:row>
    <x:row r="12" ht="40" customHeight="1">
      <x:c r="A12" s="92" t="str">
        <x:v>Role / non-functional exercises</x:v>
      </x:c>
      <x:c r="B12" s="132" t="n">
        <x:f>COUNTA('Exercises and Owners'!A6:A14)</x:f>
        <x:v>9</x:v>
      </x:c>
      <x:c r="C12" s="132" t="n">
        <x:f>COUNTIF('Exercises and Owners'!J6:J14,"Pass")</x:f>
        <x:v>0</x:v>
      </x:c>
      <x:c r="D12" s="132" t="n">
        <x:f>B12-C12</x:f>
        <x:v>9</x:v>
      </x:c>
      <x:c r="E12" s="92" t="str">
        <x:v>Owners and independent witnesses must cover every enabled office, role, device, accessibility, and recovery scope.</x:v>
      </x:c>
      <x:c r="F12" s="148"/>
      <x:c r="G12" s="148"/>
    </x:row>
    <x:row r="13" ht="40" customHeight="1">
      <x:c r="A13" s="92" t="str">
        <x:v>Field cycles</x:v>
      </x:c>
      <x:c r="B13" s="132" t="n">
        <x:f>COUNTA('Field Cycles'!A6:A8)</x:f>
        <x:v>3</x:v>
      </x:c>
      <x:c r="C13" s="132" t="n">
        <x:f>COUNTIF('Field Cycles'!S6:S8,"Accepted")</x:f>
        <x:v>0</x:v>
      </x:c>
      <x:c r="D13" s="132" t="n">
        <x:f>B13-C13</x:f>
        <x:v>3</x:v>
      </x:c>
      <x:c r="E13" s="92" t="str">
        <x:v>Use the locally approved number of consecutive reconciled cycles; three rows here are planning space, not policy.</x:v>
      </x:c>
      <x:c r="F13" s="148"/>
      <x:c r="G13" s="148"/>
    </x:row>
    <x:row r="14" ht="40" customHeight="1">
      <x:c r="A14" s="92" t="str">
        <x:v>Local decisions</x:v>
      </x:c>
      <x:c r="B14" s="132" t="n">
        <x:f>COUNTA(Decisions!A6:A12)</x:f>
        <x:v>7</x:v>
      </x:c>
      <x:c r="C14" s="132" t="n">
        <x:f>COUNTIF(Decisions!I6:I12,"Approved - local")</x:f>
        <x:v>0</x:v>
      </x:c>
      <x:c r="D14" s="132" t="n">
        <x:f>B14-C14</x:f>
        <x:v>7</x:v>
      </x:c>
      <x:c r="E14" s="92" t="str">
        <x:v>Unresolved choices remain blockers and must not be converted into hidden application assumptions.</x:v>
      </x:c>
      <x:c r="F14" s="148"/>
      <x:c r="G14" s="148"/>
    </x:row>
    <x:row r="15" ht="40" customHeight="1">
      <x:c r="A15" s="93" t="str">
        <x:v>Recovery rehearsal</x:v>
      </x:c>
      <x:c r="B15" s="133" t="n">
        <x:f>1</x:f>
        <x:v>1</x:v>
      </x:c>
      <x:c r="C15" s="133" t="n">
        <x:f>IF('Recovery Rehearsal'!B42="Ready for witness review",1,0)</x:f>
        <x:v>0</x:v>
      </x:c>
      <x:c r="D15" s="133" t="n">
        <x:f>B15-C15</x:f>
        <x:v>1</x:v>
      </x:c>
      <x:c r="E15" s="93" t="str">
        <x:v>Ready means the worksheet inputs satisfy its checks; GRAND F11.7 still requires immutable evidence and independent passage.</x:v>
      </x:c>
      <x:c r="F15" s="148"/>
      <x:c r="G15" s="148"/>
    </x:row>
    <x:row r="16">
      <x:c r="A16" s="148"/>
      <x:c r="B16" s="148"/>
      <x:c r="C16" s="148"/>
      <x:c r="D16" s="148"/>
      <x:c r="E16" s="148"/>
      <x:c r="F16" s="148"/>
      <x:c r="G16" s="148"/>
    </x:row>
    <x:row r="17" ht="28" customHeight="1">
      <x:c r="A17" s="175" t="str">
        <x:v>Check</x:v>
      </x:c>
      <x:c r="B17" s="175" t="str">
        <x:v>Status</x:v>
      </x:c>
      <x:c r="C17" s="148"/>
      <x:c r="D17" s="148"/>
      <x:c r="E17" s="148"/>
      <x:c r="F17" s="148"/>
      <x:c r="G17" s="148"/>
    </x:row>
    <x:row r="18" ht="28" customHeight="1">
      <x:c r="A18" s="158" t="str">
        <x:v>All seven practical-test categories have a passed starter row</x:v>
      </x:c>
      <x:c r="B18" s="158" t="str">
        <x:f>IF(C11=B11,"Pass","Incomplete")</x:f>
        <x:v>Incomplete</x:v>
      </x:c>
      <x:c r="C18" s="148"/>
      <x:c r="D18" s="148"/>
      <x:c r="E18" s="148"/>
      <x:c r="F18" s="148"/>
      <x:c r="G18" s="148"/>
    </x:row>
    <x:row r="19" ht="28" customHeight="1">
      <x:c r="A19" s="158" t="str">
        <x:v>No local decision remains unresolved</x:v>
      </x:c>
      <x:c r="B19" s="158" t="str">
        <x:f>IF(C14=B14,"Pass","Incomplete")</x:f>
        <x:v>Incomplete</x:v>
      </x:c>
      <x:c r="C19" s="148"/>
      <x:c r="D19" s="148"/>
      <x:c r="E19" s="148"/>
      <x:c r="F19" s="148"/>
      <x:c r="G19" s="148"/>
    </x:row>
    <x:row r="20" ht="28" customHeight="1">
      <x:c r="A20" s="158" t="str">
        <x:v>Workbook planning status</x:v>
      </x:c>
      <x:c r="B20" s="158" t="str">
        <x:f>IF(AND(C8=B8,C9=B9,C10=B10,C11=B11,C12=B12,C13=B13,C14=B14,C15=B15),"Planning inputs complete — submit through GRAND","Incomplete — continue local evidence work")</x:f>
        <x:v>Incomplete — continue local evidence work</x:v>
      </x:c>
      <x:c r="C20" s="148"/>
      <x:c r="D20" s="148"/>
      <x:c r="E20" s="148"/>
      <x:c r="F20" s="148"/>
      <x:c r="G20" s="148"/>
    </x:row>
  </x:sheetData>
  <x:mergeCells>
    <x:mergeCell ref="A1:G1"/>
    <x:mergeCell ref="A2:G2"/>
    <x:mergeCell ref="A4:G5"/>
  </x:mergeCells>
  <x:conditionalFormatting sqref="B18:B20">
    <x:cfRule type="containsText" dxfId="40" priority="1" operator="containsText" text="Accepted"/>
    <x:cfRule type="containsText" dxfId="41" priority="2" operator="containsText" text="Pass"/>
    <x:cfRule type="containsText" dxfId="42" priority="3" operator="containsText" text="Ready"/>
    <x:cfRule type="containsText" dxfId="43" priority="4" operator="containsText" text="Blocked"/>
    <x:cfRule type="containsText" dxfId="44" priority="5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  <x:col min="3" max="3" width="48" hidden="0" customWidth="1"/>
    <x:col min="4" max="4" width="72" hidden="0" customWidth="1"/>
    <x:col min="5" max="5" width="20" hidden="0" customWidth="1"/>
    <x:col min="6" max="6" width="45" hidden="0" customWidth="1"/>
    <x:col min="7" max="7" width="50" hidden="0" customWidth="1"/>
    <x:col min="8" max="8" width="24" hidden="0" customWidth="1"/>
  </x:cols>
  <x:sheetData>
    <x:row r="1" ht="30" customHeight="1">
      <x:c r="A1" s="146" t="str">
        <x:v>Sources, authority labels, and scope</x:v>
      </x:c>
      <x:c r="B1" s="146"/>
      <x:c r="C1" s="146"/>
      <x:c r="D1" s="146"/>
      <x:c r="E1" s="146"/>
      <x:c r="F1" s="146"/>
      <x:c r="G1" s="146"/>
      <x:c r="H1" s="146"/>
    </x:row>
    <x:row r="2" ht="34" customHeight="1">
      <x:c r="A2" s="147" t="str">
        <x:v>Retain exact downloaded sources and local decisions outside this workbook under the approved records/evidence process. Links below support discovery; they do not decide local applicability.</x:v>
      </x:c>
      <x:c r="B2" s="147"/>
      <x:c r="C2" s="147"/>
      <x:c r="D2" s="147"/>
      <x:c r="E2" s="147"/>
      <x:c r="F2" s="147"/>
      <x:c r="G2" s="147"/>
      <x:c r="H2" s="147"/>
    </x:row>
    <x:row r="3">
      <x:c r="A3" s="148"/>
      <x:c r="B3" s="148"/>
      <x:c r="C3" s="148"/>
      <x:c r="D3" s="148"/>
      <x:c r="E3" s="148"/>
      <x:c r="F3" s="148"/>
      <x:c r="G3" s="148"/>
      <x:c r="H3" s="148"/>
    </x:row>
    <x:row r="4">
      <x:c r="A4" s="148"/>
      <x:c r="B4" s="148"/>
      <x:c r="C4" s="148"/>
      <x:c r="D4" s="148"/>
      <x:c r="E4" s="148"/>
      <x:c r="F4" s="148"/>
      <x:c r="G4" s="148"/>
      <x:c r="H4" s="148"/>
    </x:row>
    <x:row r="5" ht="32" customHeight="1">
      <x:c r="A5" s="160" t="str">
        <x:v>Source ID</x:v>
      </x:c>
      <x:c r="B5" s="161" t="str">
        <x:v>Authority label</x:v>
      </x:c>
      <x:c r="C5" s="161" t="str">
        <x:v>Title</x:v>
      </x:c>
      <x:c r="D5" s="161" t="str">
        <x:v>Location</x:v>
      </x:c>
      <x:c r="E5" s="161" t="str">
        <x:v>Issue / as-of</x:v>
      </x:c>
      <x:c r="F5" s="161" t="str">
        <x:v>Used for</x:v>
      </x:c>
      <x:c r="G5" s="161" t="str">
        <x:v>Applicability question / limitation</x:v>
      </x:c>
      <x:c r="H5" s="162" t="str">
        <x:v>Workbook treatment</x:v>
      </x:c>
    </x:row>
    <x:row r="6">
      <x:c r="A6" s="56" t="str">
        <x:v>SRC-DBM-001</x:v>
      </x:c>
      <x:c r="B6" s="56" t="str">
        <x:v>Official reference</x:v>
      </x:c>
      <x:c r="C6" s="56" t="str">
        <x:v>DBM Local Budget Circular No. 152 / Budget Operations Manual for LGUs, 2023 Edition</x:v>
      </x:c>
      <x:c r="D6" s="136" t="str">
        <x:v>https://www.dbm.gov.ph/wp-content/uploads/Issuances/2023/Local-Budget-Circular/Budget%20Operations%20Manual%20for%20LGUs%2C%202023%20Edition.pdf</x:v>
      </x:c>
      <x:c r="E6" s="56" t="str">
        <x:v>2023</x:v>
      </x:c>
      <x:c r="F6" s="56" t="str">
        <x:v>LBP, LBA, LBR, LBE, LBAc form families and process guidance</x:v>
      </x:c>
      <x:c r="G6" s="56" t="str">
        <x:v>Confirm current amendments, LGU level, fund, year, and local adoption</x:v>
      </x:c>
      <x:c r="H6" s="56" t="str">
        <x:v>Candidate baseline</x:v>
      </x:c>
    </x:row>
    <x:row r="7">
      <x:c r="A7" s="57" t="str">
        <x:v>SRC-COA-001</x:v>
      </x:c>
      <x:c r="B7" s="57" t="str">
        <x:v>Official reference</x:v>
      </x:c>
      <x:c r="C7" s="57" t="str">
        <x:v>COA Circular No. 2023-004 — Updated Documentary Requirements for Common Government Transactions</x:v>
      </x:c>
      <x:c r="D7" s="137" t="str">
        <x:v>https://www.coa.gov.ph/wpfd_file/coa-circular-no-2023-004-june-14-2023/</x:v>
      </x:c>
      <x:c r="E7" s="57" t="str">
        <x:v>2023-06-14</x:v>
      </x:c>
      <x:c r="F7" s="57" t="str">
        <x:v>Transaction-specific documentary-requirement discovery</x:v>
      </x:c>
      <x:c r="G7" s="57" t="str">
        <x:v>Extract exact annex/section and confirm amendments/applicability with Accounting</x:v>
      </x:c>
      <x:c r="H7" s="57" t="str">
        <x:v>Candidate baseline</x:v>
      </x:c>
    </x:row>
    <x:row r="8">
      <x:c r="A8" s="57" t="str">
        <x:v>SRC-COA-002</x:v>
      </x:c>
      <x:c r="B8" s="57" t="str">
        <x:v>Official reference</x:v>
      </x:c>
      <x:c r="C8" s="57" t="str">
        <x:v>COA Circular No. 92-389 — Disbursement Voucher, General Form No. 5A</x:v>
      </x:c>
      <x:c r="D8" s="137" t="str">
        <x:v>https://www.coa.gov.ph/wpfd_file/coa-circular-no-92-389-november-3-1992/</x:v>
      </x:c>
      <x:c r="E8" s="57" t="str">
        <x:v>1992-11-03</x:v>
      </x:c>
      <x:c r="F8" s="57" t="str">
        <x:v>Historical DV form authority/reference discovery</x:v>
      </x:c>
      <x:c r="G8" s="57" t="str">
        <x:v>Confirm current prescribed form and later issuances before use</x:v>
      </x:c>
      <x:c r="H8" s="57" t="str">
        <x:v>Candidate baseline</x:v>
      </x:c>
    </x:row>
    <x:row r="9">
      <x:c r="A9" s="57" t="str">
        <x:v>SRC-GRAND-001</x:v>
      </x:c>
      <x:c r="B9" s="57" t="str">
        <x:v>GRAND-implemented</x:v>
      </x:c>
      <x:c r="C9" s="57" t="str">
        <x:v>GRAND Finance complete-cycle roadmap</x:v>
      </x:c>
      <x:c r="D9" s="137" t="str">
        <x:v>docs/FINANCE_ROADMAP.md</x:v>
      </x:c>
      <x:c r="E9" s="57" t="str">
        <x:v>Current repository version</x:v>
      </x:c>
      <x:c r="F9" s="57" t="str">
        <x:v>F0-F11 gates, evidence labels, modification boundary, exports, local-form acceptance, shadow/cutover</x:v>
      </x:c>
      <x:c r="G9" s="57" t="str">
        <x:v>Repository implementation evidence is not LGU acceptance</x:v>
      </x:c>
      <x:c r="H9" s="57" t="str">
        <x:v>Implemented roadmap</x:v>
      </x:c>
    </x:row>
    <x:row r="10">
      <x:c r="A10" s="57" t="str">
        <x:v>SRC-GRAND-002</x:v>
      </x:c>
      <x:c r="B10" s="57" t="str">
        <x:v>GRAND-implemented</x:v>
      </x:c>
      <x:c r="C10" s="57" t="str">
        <x:v>GRAND local-form inventory and acceptance</x:v>
      </x:c>
      <x:c r="D10" s="137" t="str">
        <x:v>docs/FINANCE_LOCAL_FORM_ACCEPTANCE.md</x:v>
      </x:c>
      <x:c r="E10" s="57" t="str">
        <x:v>Current repository version</x:v>
      </x:c>
      <x:c r="F10" s="57" t="str">
        <x:v>F10.2 register, sections, seven practical tests, independent acceptance, successors</x:v>
      </x:c>
      <x:c r="G10" s="57" t="str">
        <x:v>Actual forms/trials/local decisions remain required</x:v>
      </x:c>
      <x:c r="H10" s="57" t="str">
        <x:v>Implemented workflow</x:v>
      </x:c>
    </x:row>
    <x:row r="11">
      <x:c r="A11" s="58" t="str">
        <x:v>SRC-GRAND-003</x:v>
      </x:c>
      <x:c r="B11" s="58" t="str">
        <x:v>GRAND-implemented</x:v>
      </x:c>
      <x:c r="C11" s="58" t="str">
        <x:v>GRAND shadow operation and controlled cutover</x:v>
      </x:c>
      <x:c r="D11" s="138" t="str">
        <x:v>docs/FINANCE_SHADOW_CUTOVER.md</x:v>
      </x:c>
      <x:c r="E11" s="58" t="str">
        <x:v>Current repository version</x:v>
      </x:c>
      <x:c r="F11" s="58" t="str">
        <x:v>F11 staging, exercises, field cycles, recovery, approvals, cutover/rollback</x:v>
      </x:c>
      <x:c r="G11" s="58" t="str">
        <x:v>Actual field cycles, named approval, and recovery evidence remain required</x:v>
      </x:c>
      <x:c r="H11" s="58" t="str">
        <x:v>Implemented workflow</x:v>
      </x:c>
    </x:row>
    <x:row r="12">
      <x:c r="A12" s="148"/>
      <x:c r="B12" s="148"/>
      <x:c r="C12" s="148"/>
      <x:c r="D12" s="148"/>
      <x:c r="E12" s="148"/>
      <x:c r="F12" s="148"/>
      <x:c r="G12" s="148"/>
      <x:c r="H12" s="148"/>
    </x:row>
    <x:row r="13">
      <x:c r="A13" s="148"/>
      <x:c r="B13" s="148"/>
      <x:c r="C13" s="148"/>
      <x:c r="D13" s="148"/>
      <x:c r="E13" s="148"/>
      <x:c r="F13" s="148"/>
      <x:c r="G13" s="148"/>
      <x:c r="H13" s="148"/>
    </x:row>
    <x:row r="14" ht="24" customHeight="1">
      <x:c r="A14" s="164" t="str">
        <x:v>Evidence labels used by GRAND</x:v>
      </x:c>
      <x:c r="B14" s="164"/>
      <x:c r="C14" s="164"/>
      <x:c r="D14" s="164"/>
      <x:c r="E14" s="164"/>
      <x:c r="F14" s="164"/>
      <x:c r="G14" s="164"/>
      <x:c r="H14" s="164"/>
    </x:row>
    <x:row r="15" ht="30" customHeight="1">
      <x:c r="A15" s="176" t="str">
        <x:v>Observed in eGAPS</x:v>
      </x:c>
      <x:c r="B15" s="91" t="str">
        <x:v>Visible during authorized read-only inspection; does not prove hidden business rules.</x:v>
      </x:c>
      <x:c r="C15" s="148"/>
      <x:c r="D15" s="148"/>
      <x:c r="E15" s="148"/>
      <x:c r="F15" s="148"/>
      <x:c r="G15" s="148"/>
      <x:c r="H15" s="148"/>
    </x:row>
    <x:row r="16" ht="30" customHeight="1">
      <x:c r="A16" s="177" t="str">
        <x:v>Official reference</x:v>
      </x:c>
      <x:c r="B16" s="92" t="str">
        <x:v>Supported by an authoritative issuance; current local applicability still requires confirmation.</x:v>
      </x:c>
      <x:c r="C16" s="148"/>
      <x:c r="D16" s="148"/>
      <x:c r="E16" s="148"/>
      <x:c r="F16" s="148"/>
      <x:c r="G16" s="148"/>
      <x:c r="H16" s="148"/>
    </x:row>
    <x:row r="17" ht="30" customHeight="1">
      <x:c r="A17" s="177" t="str">
        <x:v>LGU-confirmed</x:v>
      </x:c>
      <x:c r="B17" s="92" t="str">
        <x:v>Supported by a redacted actual packet, approved local form/procedure, or named-office sign-off.</x:v>
      </x:c>
      <x:c r="C17" s="148"/>
      <x:c r="D17" s="148"/>
      <x:c r="E17" s="148"/>
      <x:c r="F17" s="148"/>
      <x:c r="G17" s="148"/>
      <x:c r="H17" s="148"/>
    </x:row>
    <x:row r="18" ht="30" customHeight="1">
      <x:c r="A18" s="177" t="str">
        <x:v>GRAND-implemented</x:v>
      </x:c>
      <x:c r="B18" s="92" t="str">
        <x:v>Present in code and tests; does not imply local acceptance or official use.</x:v>
      </x:c>
      <x:c r="C18" s="148"/>
      <x:c r="D18" s="148"/>
      <x:c r="E18" s="148"/>
      <x:c r="F18" s="148"/>
      <x:c r="G18" s="148"/>
      <x:c r="H18" s="148"/>
    </x:row>
    <x:row r="19" ht="30" customHeight="1">
      <x:c r="A19" s="178" t="str">
        <x:v>Unresolved</x:v>
      </x:c>
      <x:c r="B19" s="93" t="str">
        <x:v>Evidence is missing, participants disagree, or a local policy decision remains open.</x:v>
      </x:c>
      <x:c r="C19" s="148"/>
      <x:c r="D19" s="148"/>
      <x:c r="E19" s="148"/>
      <x:c r="F19" s="148"/>
      <x:c r="G19" s="148"/>
      <x:c r="H19" s="148"/>
    </x:row>
  </x:sheetData>
  <x:mergeCells>
    <x:mergeCell ref="A1:H1"/>
    <x:mergeCell ref="A2:H2"/>
    <x:mergeCell ref="A14:H14"/>
  </x:mergeCells>
  <x:pageMargins left="0.7" right="0.7" top="0.75" bottom="0.75" header="0.3" footer="0.3"/>
  <x:tableParts count="1">
    <x:tablePart xmlns:r="http://schemas.openxmlformats.org/officeDocument/2006/relationships" r:id="Rc319b5ca16fa4b16"/>
  </x:tableParts>
</x:worksheet>
</file>